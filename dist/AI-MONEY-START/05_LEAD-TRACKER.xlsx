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LEADS" state="visible" r:id="rId4"/>
    <sheet sheetId="2" name="02_DASHBOARD" state="visible" r:id="rId5"/>
    <sheet sheetId="3" name="03_SETTINGS" state="visible" r:id="rId6"/>
  </sheets>
  <calcPr calcId="171027" fullCalcOnLoad="1"/>
</workbook>
</file>

<file path=xl/sharedStrings.xml><?xml version="1.0" encoding="utf-8"?>
<sst xmlns="http://schemas.openxmlformats.org/spreadsheetml/2006/main" count="307" uniqueCount="183">
  <si>
    <t>ID</t>
  </si>
  <si>
    <t>Компания</t>
  </si>
  <si>
    <t>Ниша</t>
  </si>
  <si>
    <t>Город / рынок</t>
  </si>
  <si>
    <t>Сайт / профиль</t>
  </si>
  <si>
    <t>Контактное лицо</t>
  </si>
  <si>
    <t>Канал связи</t>
  </si>
  <si>
    <t>Контакт</t>
  </si>
  <si>
    <t>Источник</t>
  </si>
  <si>
    <t>Наблюдение</t>
  </si>
  <si>
    <t>Возможная проблема</t>
  </si>
  <si>
    <t>Почему подходит мой оффер</t>
  </si>
  <si>
    <t>Сигнал момента</t>
  </si>
  <si>
    <t>Need (0–2)</t>
  </si>
  <si>
    <t>Buying Capacity (0–2)</t>
  </si>
  <si>
    <t>Contactability (0–2)</t>
  </si>
  <si>
    <t>Fit (0–2)</t>
  </si>
  <si>
    <t>Timing (0–2)</t>
  </si>
  <si>
    <t>Итоговый Lead Score</t>
  </si>
  <si>
    <t>Приоритет</t>
  </si>
  <si>
    <t>Дата находки</t>
  </si>
  <si>
    <t>Дата обращения</t>
  </si>
  <si>
    <t>Версия сообщения</t>
  </si>
  <si>
    <t>Статус</t>
  </si>
  <si>
    <t>Последний ответ</t>
  </si>
  <si>
    <t>Дата follow-up</t>
  </si>
  <si>
    <t>Следующее действие</t>
  </si>
  <si>
    <t>Кто порекомендовал</t>
  </si>
  <si>
    <t>Кому порекомендовал(а)</t>
  </si>
  <si>
    <t>Заметки</t>
  </si>
  <si>
    <t>DEMO-1</t>
  </si>
  <si>
    <t>DEMO — Стоматология «Северная» (удалить)</t>
  </si>
  <si>
    <t>Стоматология</t>
  </si>
  <si>
    <t>Новосибирск</t>
  </si>
  <si>
    <t>instagram.com/demo1</t>
  </si>
  <si>
    <t>Анна</t>
  </si>
  <si>
    <t>Instagram</t>
  </si>
  <si>
    <t>@demo_dental</t>
  </si>
  <si>
    <t>Активный Instagram, нет сайта с записью</t>
  </si>
  <si>
    <t>Нет страницы с услугами и формой записи</t>
  </si>
  <si>
    <t>Лендинг с услугами и записью</t>
  </si>
  <si>
    <t>Анонс нового врача на этой неделе</t>
  </si>
  <si>
    <t>A</t>
  </si>
  <si>
    <t>CONTACTED</t>
  </si>
  <si>
    <t>Follow-up через 2 дня</t>
  </si>
  <si>
    <t>DEMO — удалить перед использованием</t>
  </si>
  <si>
    <t>DEMO-2</t>
  </si>
  <si>
    <t>DEMO — Детейлинг «Глянец» (удалить)</t>
  </si>
  <si>
    <t>Детейлинг</t>
  </si>
  <si>
    <t>Москва</t>
  </si>
  <si>
    <t>vk.com/demo2</t>
  </si>
  <si>
    <t>Игорь</t>
  </si>
  <si>
    <t>VK</t>
  </si>
  <si>
    <t>vk.com/demo2_msg</t>
  </si>
  <si>
    <t>Много отзывов, сайта нет</t>
  </si>
  <si>
    <t>Заявки только через директ</t>
  </si>
  <si>
    <t>Лендинг с портфолио работ</t>
  </si>
  <si>
    <t>B</t>
  </si>
  <si>
    <t>NEW</t>
  </si>
  <si>
    <t>Написать первое сообщение</t>
  </si>
  <si>
    <t>DEMO-3</t>
  </si>
  <si>
    <t>DEMO — Эксперт по маникюру (удалить)</t>
  </si>
  <si>
    <t>Бьюти</t>
  </si>
  <si>
    <t>Санкт-Петербург</t>
  </si>
  <si>
    <t>instagram.com/demo3</t>
  </si>
  <si>
    <t>Мария</t>
  </si>
  <si>
    <t>@demo_nails</t>
  </si>
  <si>
    <t>Снимает Reels, слабый хук</t>
  </si>
  <si>
    <t>Зрители не досматривают ролики</t>
  </si>
  <si>
    <t>5 сценариев с сильным хуком</t>
  </si>
  <si>
    <t>REPLIED</t>
  </si>
  <si>
    <t>Провести discovery</t>
  </si>
  <si>
    <t>DEMO-4</t>
  </si>
  <si>
    <t>DEMO — Онлайн-школа «Рост» (удалить)</t>
  </si>
  <si>
    <t>Образование</t>
  </si>
  <si>
    <t>Екатеринбург</t>
  </si>
  <si>
    <t>t.me/demo4</t>
  </si>
  <si>
    <t>Павел</t>
  </si>
  <si>
    <t>Telegram</t>
  </si>
  <si>
    <t>@demo_edu</t>
  </si>
  <si>
    <t>База подписчиков, нет лид-магнита</t>
  </si>
  <si>
    <t>Нет входного бесплатного материала</t>
  </si>
  <si>
    <t>PDF-гайд как лид-магнит</t>
  </si>
  <si>
    <t>FOLLOW-UP</t>
  </si>
  <si>
    <t>Отправить follow-up #2</t>
  </si>
  <si>
    <t>DEMO-5</t>
  </si>
  <si>
    <t>DEMO — Кофейня «Утро» (удалить)</t>
  </si>
  <si>
    <t>Кафе</t>
  </si>
  <si>
    <t>Казань</t>
  </si>
  <si>
    <t>instagram.com/demo5</t>
  </si>
  <si>
    <t>Светлана</t>
  </si>
  <si>
    <t>@demo_coffee</t>
  </si>
  <si>
    <t>Заброшенный Telegram-канал</t>
  </si>
  <si>
    <t>Нет публикаций 3 недели</t>
  </si>
  <si>
    <t>Контент-план на месяц</t>
  </si>
  <si>
    <t>Ищут бариста — набор команды</t>
  </si>
  <si>
    <t>Найти контакт и написать</t>
  </si>
  <si>
    <t>ПОКАЗАТЕЛЬ</t>
  </si>
  <si>
    <t>ЗНАЧЕНИЕ</t>
  </si>
  <si>
    <t>КАК СЧИТАЕТСЯ</t>
  </si>
  <si>
    <t>Всего лидов</t>
  </si>
  <si>
    <t>непустые строки в столбце ID</t>
  </si>
  <si>
    <t>Лиды A</t>
  </si>
  <si>
    <t>Приоритет = A</t>
  </si>
  <si>
    <t>Лиды B</t>
  </si>
  <si>
    <t>Приоритет = B</t>
  </si>
  <si>
    <t>Лиды C</t>
  </si>
  <si>
    <t>Приоритет = C</t>
  </si>
  <si>
    <t>Написано (Contacted)</t>
  </si>
  <si>
    <t>заполнена «Дата обращения»</t>
  </si>
  <si>
    <t>Ответили (Replies)</t>
  </si>
  <si>
    <t>заполнен «Последний ответ» (хотя бы раз ответили)</t>
  </si>
  <si>
    <t>Заинтересованы (Interested и дальше)</t>
  </si>
  <si>
    <t>текущий статус INTERESTED и дальше по воронке</t>
  </si>
  <si>
    <t>Обсуждение (Discovery и дальше)</t>
  </si>
  <si>
    <t>текущий статус DISCOVERY и дальше</t>
  </si>
  <si>
    <t>Офферы отправлены (или Won)</t>
  </si>
  <si>
    <t>текущий статус OFFER SENT или WON</t>
  </si>
  <si>
    <t>Закрыто (Won)</t>
  </si>
  <si>
    <t>текущий статус WON</t>
  </si>
  <si>
    <t>Потеряно (Lost)</t>
  </si>
  <si>
    <t>текущий статус LOST</t>
  </si>
  <si>
    <t>Follow-up сегодня и просрочен</t>
  </si>
  <si>
    <t>«Дата follow-up» наступила/прошла, сделка ещё активна</t>
  </si>
  <si>
    <t>МЕТРИКА ВОРОНКИ</t>
  </si>
  <si>
    <t>ФОРМУЛА (по строкам выше)</t>
  </si>
  <si>
    <t>Доля ответов (Reply Rate)</t>
  </si>
  <si>
    <t>Ответили / Написано</t>
  </si>
  <si>
    <t>Доля позитивных ответов (Positive Reply Rate)</t>
  </si>
  <si>
    <t>Заинтересованы (и дальше) / Написано</t>
  </si>
  <si>
    <t>Доля обсуждений (Discussion Rate)</t>
  </si>
  <si>
    <t>Обсуждение (и дальше) / Заинтересованы (и дальше)</t>
  </si>
  <si>
    <t>Доля офферов (Offer Rate)</t>
  </si>
  <si>
    <t>Офферы (или Won) / Обсуждение (и дальше)</t>
  </si>
  <si>
    <t>Доля закрытых сделок (Close Rate)</t>
  </si>
  <si>
    <t>Won / Офферы (или Won)</t>
  </si>
  <si>
    <t>Эти показатели — инструмент поиска слабого места собственной воронки, не сравнение с «нормальными» цифрами рынка.</t>
  </si>
  <si>
    <t>Статусы</t>
  </si>
  <si>
    <t>Приоритеты</t>
  </si>
  <si>
    <t>Каналы</t>
  </si>
  <si>
    <t>Версии сообщений</t>
  </si>
  <si>
    <t>Источники</t>
  </si>
  <si>
    <t>Google Maps</t>
  </si>
  <si>
    <t>READY</t>
  </si>
  <si>
    <t>WhatsApp</t>
  </si>
  <si>
    <t>Яндекс Карты</t>
  </si>
  <si>
    <t>C</t>
  </si>
  <si>
    <t>2GIS</t>
  </si>
  <si>
    <t/>
  </si>
  <si>
    <t>INTERESTED</t>
  </si>
  <si>
    <t>Email</t>
  </si>
  <si>
    <t>DISCOVERY</t>
  </si>
  <si>
    <t>Phone</t>
  </si>
  <si>
    <t>OFFER SENT</t>
  </si>
  <si>
    <t>Marketplace</t>
  </si>
  <si>
    <t>LinkedIn</t>
  </si>
  <si>
    <t>Other</t>
  </si>
  <si>
    <t>Avito</t>
  </si>
  <si>
    <t>WON</t>
  </si>
  <si>
    <t>Profi</t>
  </si>
  <si>
    <t>LOST</t>
  </si>
  <si>
    <t>Kwork</t>
  </si>
  <si>
    <t>NOT A FIT</t>
  </si>
  <si>
    <t>Бизнес-каталог</t>
  </si>
  <si>
    <t>Знакомые / рекомендация</t>
  </si>
  <si>
    <t>Фриланс-биржа (другая)</t>
  </si>
  <si>
    <t>Другое</t>
  </si>
  <si>
    <t>Услуги (каталог Module 2, справочно):</t>
  </si>
  <si>
    <t>Landing Page Creation</t>
  </si>
  <si>
    <t>Website Redesign</t>
  </si>
  <si>
    <t>Commercial Presentations</t>
  </si>
  <si>
    <t>Lead Magnets / PDF Guides</t>
  </si>
  <si>
    <t>Telegram Content Packs</t>
  </si>
  <si>
    <t>Short-Form Video Scripts</t>
  </si>
  <si>
    <t>Product Descriptions</t>
  </si>
  <si>
    <t>Social Media Content Packs</t>
  </si>
  <si>
    <t>Competitor Research</t>
  </si>
  <si>
    <t>SOP / Process Documentation</t>
  </si>
  <si>
    <t>Email Sequences</t>
  </si>
  <si>
    <t>Visual Content / Ad Creatives</t>
  </si>
  <si>
    <t>Short-Form Video Editing</t>
  </si>
  <si>
    <t>Basic AI Automation Setup</t>
  </si>
  <si>
    <t>Local Business Digital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</si>
</sst>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FFFFF"/>
    </font>
    <font>
      <i/>
      <color rgb="FF4A4A46"/>
    </font>
  </fonts>
  <fills count="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005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2">
    <dxf>
      <font>
        <b/>
        <color rgb="FFB00020"/>
      </font>
    </dxf>
    <dxf>
      <font>
        <b/>
      </font>
      <fill>
        <patternFill patternType="solid">
          <fgColor rgb="FFE8EE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6" customWidth="1"/>
    <col min="4" max="4" width="14" customWidth="1"/>
    <col min="5" max="5" width="22" customWidth="1"/>
    <col min="6" max="6" width="16" customWidth="1"/>
    <col min="7" max="7" width="14" customWidth="1"/>
    <col min="8" max="8" width="18" customWidth="1"/>
    <col min="9" max="9" width="16" customWidth="1"/>
    <col min="10" max="11" width="26" customWidth="1"/>
    <col min="12" max="12" width="24" customWidth="1"/>
    <col min="13" max="13" width="18" customWidth="1"/>
    <col min="14" max="18" width="8" customWidth="1"/>
    <col min="20" max="20" width="8" customWidth="1"/>
    <col min="21" max="22" width="12" customWidth="1"/>
    <col min="23" max="23" width="10" customWidth="1"/>
    <col min="24" max="26" width="12" customWidth="1"/>
    <col min="27" max="27" width="26" customWidth="1"/>
    <col min="28" max="29" width="16" customWidth="1"/>
    <col min="30" max="30" width="26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36</v>
      </c>
      <c r="J2" t="s">
        <v>38</v>
      </c>
      <c r="K2" t="s">
        <v>39</v>
      </c>
      <c r="L2" t="s">
        <v>40</v>
      </c>
      <c r="M2" t="s">
        <v>41</v>
      </c>
      <c r="N2">
        <v>2</v>
      </c>
      <c r="O2">
        <v>1</v>
      </c>
      <c r="P2">
        <v>2</v>
      </c>
      <c r="Q2">
        <v>2</v>
      </c>
      <c r="R2">
        <v>1</v>
      </c>
      <c r="S2">
        <f>IF(COUNT(N2:R2)=0,"",SUM(N2:R2))</f>
      </c>
      <c r="T2" t="s">
        <v>42</v>
      </c>
      <c r="U2" s="2">
        <v>46266.68317380787</v>
      </c>
      <c r="V2" s="2">
        <v>46266.68317380787</v>
      </c>
      <c r="W2" t="s">
        <v>42</v>
      </c>
      <c r="X2" t="s">
        <v>43</v>
      </c>
      <c r="Y2" s="2"/>
      <c r="Z2" s="2">
        <v>46269.68317380787</v>
      </c>
      <c r="AA2" t="s">
        <v>44</v>
      </c>
      <c r="AD2" t="s">
        <v>45</v>
      </c>
    </row>
    <row r="3" spans="1:30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52</v>
      </c>
      <c r="J3" t="s">
        <v>54</v>
      </c>
      <c r="K3" t="s">
        <v>55</v>
      </c>
      <c r="L3" t="s">
        <v>56</v>
      </c>
      <c r="N3">
        <v>1</v>
      </c>
      <c r="O3">
        <v>2</v>
      </c>
      <c r="P3">
        <v>1</v>
      </c>
      <c r="Q3">
        <v>2</v>
      </c>
      <c r="R3">
        <v>0</v>
      </c>
      <c r="S3">
        <f>IF(COUNT(N3:R3)=0,"",SUM(N3:R3))</f>
      </c>
      <c r="T3" t="s">
        <v>57</v>
      </c>
      <c r="U3" s="2">
        <v>46261.68317380787</v>
      </c>
      <c r="V3" s="2"/>
      <c r="X3" t="s">
        <v>58</v>
      </c>
      <c r="Y3" s="2"/>
      <c r="Z3" s="2"/>
      <c r="AA3" t="s">
        <v>59</v>
      </c>
      <c r="AD3" t="s">
        <v>45</v>
      </c>
    </row>
    <row r="4" spans="1:30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36</v>
      </c>
      <c r="H4" t="s">
        <v>66</v>
      </c>
      <c r="I4" t="s">
        <v>36</v>
      </c>
      <c r="J4" t="s">
        <v>67</v>
      </c>
      <c r="K4" t="s">
        <v>68</v>
      </c>
      <c r="L4" t="s">
        <v>69</v>
      </c>
      <c r="N4">
        <v>2</v>
      </c>
      <c r="O4">
        <v>1</v>
      </c>
      <c r="P4">
        <v>2</v>
      </c>
      <c r="Q4">
        <v>2</v>
      </c>
      <c r="R4">
        <v>2</v>
      </c>
      <c r="S4">
        <f>IF(COUNT(N4:R4)=0,"",SUM(N4:R4))</f>
      </c>
      <c r="T4" t="s">
        <v>42</v>
      </c>
      <c r="U4" s="2">
        <v>46264.68317380787</v>
      </c>
      <c r="V4" s="2">
        <v>46265.68317380787</v>
      </c>
      <c r="W4" t="s">
        <v>57</v>
      </c>
      <c r="X4" t="s">
        <v>70</v>
      </c>
      <c r="Y4" s="2">
        <v>46265.68317380787</v>
      </c>
      <c r="Z4" s="2">
        <v>46268.68317380787</v>
      </c>
      <c r="AA4" t="s">
        <v>71</v>
      </c>
      <c r="AD4" t="s">
        <v>45</v>
      </c>
    </row>
    <row r="5" spans="1:30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78</v>
      </c>
      <c r="J5" t="s">
        <v>80</v>
      </c>
      <c r="K5" t="s">
        <v>81</v>
      </c>
      <c r="L5" t="s">
        <v>82</v>
      </c>
      <c r="N5">
        <v>1</v>
      </c>
      <c r="O5">
        <v>2</v>
      </c>
      <c r="P5">
        <v>2</v>
      </c>
      <c r="Q5">
        <v>1</v>
      </c>
      <c r="R5">
        <v>1</v>
      </c>
      <c r="S5">
        <f>IF(COUNT(N5:R5)=0,"",SUM(N5:R5))</f>
      </c>
      <c r="T5" t="s">
        <v>57</v>
      </c>
      <c r="U5" s="2">
        <v>46256.68317380787</v>
      </c>
      <c r="V5" s="2">
        <v>46258.68317380787</v>
      </c>
      <c r="W5" t="s">
        <v>42</v>
      </c>
      <c r="X5" t="s">
        <v>83</v>
      </c>
      <c r="Y5" s="2">
        <v>46258.68317380787</v>
      </c>
      <c r="Z5" s="2">
        <v>46265.68317380787</v>
      </c>
      <c r="AA5" t="s">
        <v>84</v>
      </c>
      <c r="AD5" t="s">
        <v>45</v>
      </c>
    </row>
    <row r="6" spans="1:30" x14ac:dyDescent="0.25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36</v>
      </c>
      <c r="H6" t="s">
        <v>91</v>
      </c>
      <c r="I6" t="s">
        <v>36</v>
      </c>
      <c r="J6" t="s">
        <v>92</v>
      </c>
      <c r="K6" t="s">
        <v>93</v>
      </c>
      <c r="L6" t="s">
        <v>94</v>
      </c>
      <c r="M6" t="s">
        <v>95</v>
      </c>
      <c r="N6">
        <v>2</v>
      </c>
      <c r="O6">
        <v>1</v>
      </c>
      <c r="P6">
        <v>1</v>
      </c>
      <c r="Q6">
        <v>2</v>
      </c>
      <c r="R6">
        <v>2</v>
      </c>
      <c r="S6">
        <f>IF(COUNT(N6:R6)=0,"",SUM(N6:R6))</f>
      </c>
      <c r="T6" t="s">
        <v>42</v>
      </c>
      <c r="U6" s="2">
        <v>46265.68317380787</v>
      </c>
      <c r="V6" s="2"/>
      <c r="X6" t="s">
        <v>58</v>
      </c>
      <c r="Y6" s="2"/>
      <c r="Z6" s="2"/>
      <c r="AA6" t="s">
        <v>96</v>
      </c>
      <c r="AD6" t="s">
        <v>45</v>
      </c>
    </row>
    <row r="7" spans="7:26" x14ac:dyDescent="0.25">
      <c r="S7">
        <f>IF(COUNT(N7:R7)=0,"",SUM(N7:R7))</f>
      </c>
      <c r="U7" s="2"/>
      <c r="V7" s="2"/>
      <c r="Y7" s="2"/>
      <c r="Z7" s="2"/>
    </row>
    <row r="8" spans="7:26" x14ac:dyDescent="0.25">
      <c r="S8">
        <f>IF(COUNT(N8:R8)=0,"",SUM(N8:R8))</f>
      </c>
      <c r="U8" s="2"/>
      <c r="V8" s="2"/>
      <c r="Y8" s="2"/>
      <c r="Z8" s="2"/>
    </row>
    <row r="9" spans="7:26" x14ac:dyDescent="0.25">
      <c r="S9">
        <f>IF(COUNT(N9:R9)=0,"",SUM(N9:R9))</f>
      </c>
      <c r="U9" s="2"/>
      <c r="V9" s="2"/>
      <c r="Y9" s="2"/>
      <c r="Z9" s="2"/>
    </row>
    <row r="10" spans="7:26" x14ac:dyDescent="0.25">
      <c r="S10">
        <f>IF(COUNT(N10:R10)=0,"",SUM(N10:R10))</f>
      </c>
      <c r="U10" s="2"/>
      <c r="V10" s="2"/>
      <c r="Y10" s="2"/>
      <c r="Z10" s="2"/>
    </row>
    <row r="11" spans="7:26" x14ac:dyDescent="0.25">
      <c r="S11">
        <f>IF(COUNT(N11:R11)=0,"",SUM(N11:R11))</f>
      </c>
      <c r="U11" s="2"/>
      <c r="V11" s="2"/>
      <c r="Y11" s="2"/>
      <c r="Z11" s="2"/>
    </row>
    <row r="12" spans="7:26" x14ac:dyDescent="0.25">
      <c r="S12">
        <f>IF(COUNT(N12:R12)=0,"",SUM(N12:R12))</f>
      </c>
      <c r="U12" s="2"/>
      <c r="V12" s="2"/>
      <c r="Y12" s="2"/>
      <c r="Z12" s="2"/>
    </row>
    <row r="13" spans="7:26" x14ac:dyDescent="0.25">
      <c r="S13">
        <f>IF(COUNT(N13:R13)=0,"",SUM(N13:R13))</f>
      </c>
      <c r="U13" s="2"/>
      <c r="V13" s="2"/>
      <c r="Y13" s="2"/>
      <c r="Z13" s="2"/>
    </row>
    <row r="14" spans="7:26" x14ac:dyDescent="0.25">
      <c r="S14">
        <f>IF(COUNT(N14:R14)=0,"",SUM(N14:R14))</f>
      </c>
      <c r="U14" s="2"/>
      <c r="V14" s="2"/>
      <c r="Y14" s="2"/>
      <c r="Z14" s="2"/>
    </row>
    <row r="15" spans="7:26" x14ac:dyDescent="0.25">
      <c r="S15">
        <f>IF(COUNT(N15:R15)=0,"",SUM(N15:R15))</f>
      </c>
      <c r="U15" s="2"/>
      <c r="V15" s="2"/>
      <c r="Y15" s="2"/>
      <c r="Z15" s="2"/>
    </row>
    <row r="16" spans="7:26" x14ac:dyDescent="0.25">
      <c r="S16">
        <f>IF(COUNT(N16:R16)=0,"",SUM(N16:R16))</f>
      </c>
      <c r="U16" s="2"/>
      <c r="V16" s="2"/>
      <c r="Y16" s="2"/>
      <c r="Z16" s="2"/>
    </row>
    <row r="17" spans="7:26" x14ac:dyDescent="0.25">
      <c r="S17">
        <f>IF(COUNT(N17:R17)=0,"",SUM(N17:R17))</f>
      </c>
      <c r="U17" s="2"/>
      <c r="V17" s="2"/>
      <c r="Y17" s="2"/>
      <c r="Z17" s="2"/>
    </row>
    <row r="18" spans="7:26" x14ac:dyDescent="0.25">
      <c r="S18">
        <f>IF(COUNT(N18:R18)=0,"",SUM(N18:R18))</f>
      </c>
      <c r="U18" s="2"/>
      <c r="V18" s="2"/>
      <c r="Y18" s="2"/>
      <c r="Z18" s="2"/>
    </row>
    <row r="19" spans="7:26" x14ac:dyDescent="0.25">
      <c r="S19">
        <f>IF(COUNT(N19:R19)=0,"",SUM(N19:R19))</f>
      </c>
      <c r="U19" s="2"/>
      <c r="V19" s="2"/>
      <c r="Y19" s="2"/>
      <c r="Z19" s="2"/>
    </row>
    <row r="20" spans="7:26" x14ac:dyDescent="0.25">
      <c r="S20">
        <f>IF(COUNT(N20:R20)=0,"",SUM(N20:R20))</f>
      </c>
      <c r="U20" s="2"/>
      <c r="V20" s="2"/>
      <c r="Y20" s="2"/>
      <c r="Z20" s="2"/>
    </row>
    <row r="21" spans="7:26" x14ac:dyDescent="0.25">
      <c r="S21">
        <f>IF(COUNT(N21:R21)=0,"",SUM(N21:R21))</f>
      </c>
      <c r="U21" s="2"/>
      <c r="V21" s="2"/>
      <c r="Y21" s="2"/>
      <c r="Z21" s="2"/>
    </row>
    <row r="22" spans="7:26" x14ac:dyDescent="0.25">
      <c r="S22">
        <f>IF(COUNT(N22:R22)=0,"",SUM(N22:R22))</f>
      </c>
      <c r="U22" s="2"/>
      <c r="V22" s="2"/>
      <c r="Y22" s="2"/>
      <c r="Z22" s="2"/>
    </row>
    <row r="23" spans="7:26" x14ac:dyDescent="0.25">
      <c r="S23">
        <f>IF(COUNT(N23:R23)=0,"",SUM(N23:R23))</f>
      </c>
      <c r="U23" s="2"/>
      <c r="V23" s="2"/>
      <c r="Y23" s="2"/>
      <c r="Z23" s="2"/>
    </row>
    <row r="24" spans="7:26" x14ac:dyDescent="0.25">
      <c r="S24">
        <f>IF(COUNT(N24:R24)=0,"",SUM(N24:R24))</f>
      </c>
      <c r="U24" s="2"/>
      <c r="V24" s="2"/>
      <c r="Y24" s="2"/>
      <c r="Z24" s="2"/>
    </row>
    <row r="25" spans="7:26" x14ac:dyDescent="0.25">
      <c r="S25">
        <f>IF(COUNT(N25:R25)=0,"",SUM(N25:R25))</f>
      </c>
      <c r="U25" s="2"/>
      <c r="V25" s="2"/>
      <c r="Y25" s="2"/>
      <c r="Z25" s="2"/>
    </row>
    <row r="26" spans="7:26" x14ac:dyDescent="0.25">
      <c r="S26">
        <f>IF(COUNT(N26:R26)=0,"",SUM(N26:R26))</f>
      </c>
      <c r="U26" s="2"/>
      <c r="V26" s="2"/>
      <c r="Y26" s="2"/>
      <c r="Z26" s="2"/>
    </row>
    <row r="27" spans="7:26" x14ac:dyDescent="0.25">
      <c r="S27">
        <f>IF(COUNT(N27:R27)=0,"",SUM(N27:R27))</f>
      </c>
      <c r="U27" s="2"/>
      <c r="V27" s="2"/>
      <c r="Y27" s="2"/>
      <c r="Z27" s="2"/>
    </row>
    <row r="28" spans="7:26" x14ac:dyDescent="0.25">
      <c r="S28">
        <f>IF(COUNT(N28:R28)=0,"",SUM(N28:R28))</f>
      </c>
      <c r="U28" s="2"/>
      <c r="V28" s="2"/>
      <c r="Y28" s="2"/>
      <c r="Z28" s="2"/>
    </row>
    <row r="29" spans="7:26" x14ac:dyDescent="0.25">
      <c r="S29">
        <f>IF(COUNT(N29:R29)=0,"",SUM(N29:R29))</f>
      </c>
      <c r="U29" s="2"/>
      <c r="V29" s="2"/>
      <c r="Y29" s="2"/>
      <c r="Z29" s="2"/>
    </row>
    <row r="30" spans="7:26" x14ac:dyDescent="0.25">
      <c r="S30">
        <f>IF(COUNT(N30:R30)=0,"",SUM(N30:R30))</f>
      </c>
      <c r="U30" s="2"/>
      <c r="V30" s="2"/>
      <c r="Y30" s="2"/>
      <c r="Z30" s="2"/>
    </row>
    <row r="31" spans="7:26" x14ac:dyDescent="0.25">
      <c r="S31">
        <f>IF(COUNT(N31:R31)=0,"",SUM(N31:R31))</f>
      </c>
      <c r="U31" s="2"/>
      <c r="V31" s="2"/>
      <c r="Y31" s="2"/>
      <c r="Z31" s="2"/>
    </row>
    <row r="32" spans="7:26" x14ac:dyDescent="0.25">
      <c r="S32">
        <f>IF(COUNT(N32:R32)=0,"",SUM(N32:R32))</f>
      </c>
      <c r="U32" s="2"/>
      <c r="V32" s="2"/>
      <c r="Y32" s="2"/>
      <c r="Z32" s="2"/>
    </row>
    <row r="33" spans="7:26" x14ac:dyDescent="0.25">
      <c r="S33">
        <f>IF(COUNT(N33:R33)=0,"",SUM(N33:R33))</f>
      </c>
      <c r="U33" s="2"/>
      <c r="V33" s="2"/>
      <c r="Y33" s="2"/>
      <c r="Z33" s="2"/>
    </row>
    <row r="34" spans="7:26" x14ac:dyDescent="0.25">
      <c r="S34">
        <f>IF(COUNT(N34:R34)=0,"",SUM(N34:R34))</f>
      </c>
      <c r="U34" s="2"/>
      <c r="V34" s="2"/>
      <c r="Y34" s="2"/>
      <c r="Z34" s="2"/>
    </row>
    <row r="35" spans="7:26" x14ac:dyDescent="0.25">
      <c r="S35">
        <f>IF(COUNT(N35:R35)=0,"",SUM(N35:R35))</f>
      </c>
      <c r="U35" s="2"/>
      <c r="V35" s="2"/>
      <c r="Y35" s="2"/>
      <c r="Z35" s="2"/>
    </row>
    <row r="36" spans="7:26" x14ac:dyDescent="0.25">
      <c r="S36">
        <f>IF(COUNT(N36:R36)=0,"",SUM(N36:R36))</f>
      </c>
      <c r="U36" s="2"/>
      <c r="V36" s="2"/>
      <c r="Y36" s="2"/>
      <c r="Z36" s="2"/>
    </row>
    <row r="37" spans="7:26" x14ac:dyDescent="0.25">
      <c r="S37">
        <f>IF(COUNT(N37:R37)=0,"",SUM(N37:R37))</f>
      </c>
      <c r="U37" s="2"/>
      <c r="V37" s="2"/>
      <c r="Y37" s="2"/>
      <c r="Z37" s="2"/>
    </row>
    <row r="38" spans="7:26" x14ac:dyDescent="0.25">
      <c r="S38">
        <f>IF(COUNT(N38:R38)=0,"",SUM(N38:R38))</f>
      </c>
      <c r="U38" s="2"/>
      <c r="V38" s="2"/>
      <c r="Y38" s="2"/>
      <c r="Z38" s="2"/>
    </row>
    <row r="39" spans="7:26" x14ac:dyDescent="0.25">
      <c r="S39">
        <f>IF(COUNT(N39:R39)=0,"",SUM(N39:R39))</f>
      </c>
      <c r="U39" s="2"/>
      <c r="V39" s="2"/>
      <c r="Y39" s="2"/>
      <c r="Z39" s="2"/>
    </row>
    <row r="40" spans="7:26" x14ac:dyDescent="0.25">
      <c r="S40">
        <f>IF(COUNT(N40:R40)=0,"",SUM(N40:R40))</f>
      </c>
      <c r="U40" s="2"/>
      <c r="V40" s="2"/>
      <c r="Y40" s="2"/>
      <c r="Z40" s="2"/>
    </row>
    <row r="41" spans="7:26" x14ac:dyDescent="0.25">
      <c r="S41">
        <f>IF(COUNT(N41:R41)=0,"",SUM(N41:R41))</f>
      </c>
      <c r="U41" s="2"/>
      <c r="V41" s="2"/>
      <c r="Y41" s="2"/>
      <c r="Z41" s="2"/>
    </row>
    <row r="42" spans="7:26" x14ac:dyDescent="0.25">
      <c r="S42">
        <f>IF(COUNT(N42:R42)=0,"",SUM(N42:R42))</f>
      </c>
      <c r="U42" s="2"/>
      <c r="V42" s="2"/>
      <c r="Y42" s="2"/>
      <c r="Z42" s="2"/>
    </row>
    <row r="43" spans="7:26" x14ac:dyDescent="0.25">
      <c r="S43">
        <f>IF(COUNT(N43:R43)=0,"",SUM(N43:R43))</f>
      </c>
      <c r="U43" s="2"/>
      <c r="V43" s="2"/>
      <c r="Y43" s="2"/>
      <c r="Z43" s="2"/>
    </row>
    <row r="44" spans="7:26" x14ac:dyDescent="0.25">
      <c r="S44">
        <f>IF(COUNT(N44:R44)=0,"",SUM(N44:R44))</f>
      </c>
      <c r="U44" s="2"/>
      <c r="V44" s="2"/>
      <c r="Y44" s="2"/>
      <c r="Z44" s="2"/>
    </row>
    <row r="45" spans="7:26" x14ac:dyDescent="0.25">
      <c r="S45">
        <f>IF(COUNT(N45:R45)=0,"",SUM(N45:R45))</f>
      </c>
      <c r="U45" s="2"/>
      <c r="V45" s="2"/>
      <c r="Y45" s="2"/>
      <c r="Z45" s="2"/>
    </row>
    <row r="46" spans="7:26" x14ac:dyDescent="0.25">
      <c r="S46">
        <f>IF(COUNT(N46:R46)=0,"",SUM(N46:R46))</f>
      </c>
      <c r="U46" s="2"/>
      <c r="V46" s="2"/>
      <c r="Y46" s="2"/>
      <c r="Z46" s="2"/>
    </row>
    <row r="47" spans="7:26" x14ac:dyDescent="0.25">
      <c r="S47">
        <f>IF(COUNT(N47:R47)=0,"",SUM(N47:R47))</f>
      </c>
      <c r="U47" s="2"/>
      <c r="V47" s="2"/>
      <c r="Y47" s="2"/>
      <c r="Z47" s="2"/>
    </row>
    <row r="48" spans="7:26" x14ac:dyDescent="0.25">
      <c r="S48">
        <f>IF(COUNT(N48:R48)=0,"",SUM(N48:R48))</f>
      </c>
      <c r="U48" s="2"/>
      <c r="V48" s="2"/>
      <c r="Y48" s="2"/>
      <c r="Z48" s="2"/>
    </row>
    <row r="49" spans="7:26" x14ac:dyDescent="0.25">
      <c r="S49">
        <f>IF(COUNT(N49:R49)=0,"",SUM(N49:R49))</f>
      </c>
      <c r="U49" s="2"/>
      <c r="V49" s="2"/>
      <c r="Y49" s="2"/>
      <c r="Z49" s="2"/>
    </row>
    <row r="50" spans="7:26" x14ac:dyDescent="0.25">
      <c r="S50">
        <f>IF(COUNT(N50:R50)=0,"",SUM(N50:R50))</f>
      </c>
      <c r="U50" s="2"/>
      <c r="V50" s="2"/>
      <c r="Y50" s="2"/>
      <c r="Z50" s="2"/>
    </row>
    <row r="51" spans="7:26" x14ac:dyDescent="0.25">
      <c r="S51">
        <f>IF(COUNT(N51:R51)=0,"",SUM(N51:R51))</f>
      </c>
      <c r="U51" s="2"/>
      <c r="V51" s="2"/>
      <c r="Y51" s="2"/>
      <c r="Z51" s="2"/>
    </row>
    <row r="52" spans="7:26" x14ac:dyDescent="0.25">
      <c r="S52">
        <f>IF(COUNT(N52:R52)=0,"",SUM(N52:R52))</f>
      </c>
      <c r="U52" s="2"/>
      <c r="V52" s="2"/>
      <c r="Y52" s="2"/>
      <c r="Z52" s="2"/>
    </row>
    <row r="53" spans="7:26" x14ac:dyDescent="0.25">
      <c r="S53">
        <f>IF(COUNT(N53:R53)=0,"",SUM(N53:R53))</f>
      </c>
      <c r="U53" s="2"/>
      <c r="V53" s="2"/>
      <c r="Y53" s="2"/>
      <c r="Z53" s="2"/>
    </row>
    <row r="54" spans="7:26" x14ac:dyDescent="0.25">
      <c r="S54">
        <f>IF(COUNT(N54:R54)=0,"",SUM(N54:R54))</f>
      </c>
      <c r="U54" s="2"/>
      <c r="V54" s="2"/>
      <c r="Y54" s="2"/>
      <c r="Z54" s="2"/>
    </row>
    <row r="55" spans="7:26" x14ac:dyDescent="0.25">
      <c r="S55">
        <f>IF(COUNT(N55:R55)=0,"",SUM(N55:R55))</f>
      </c>
      <c r="U55" s="2"/>
      <c r="V55" s="2"/>
      <c r="Y55" s="2"/>
      <c r="Z55" s="2"/>
    </row>
    <row r="56" spans="7:26" x14ac:dyDescent="0.25">
      <c r="S56">
        <f>IF(COUNT(N56:R56)=0,"",SUM(N56:R56))</f>
      </c>
      <c r="U56" s="2"/>
      <c r="V56" s="2"/>
      <c r="Y56" s="2"/>
      <c r="Z56" s="2"/>
    </row>
    <row r="57" spans="7:26" x14ac:dyDescent="0.25">
      <c r="S57">
        <f>IF(COUNT(N57:R57)=0,"",SUM(N57:R57))</f>
      </c>
      <c r="U57" s="2"/>
      <c r="V57" s="2"/>
      <c r="Y57" s="2"/>
      <c r="Z57" s="2"/>
    </row>
    <row r="58" spans="7:26" x14ac:dyDescent="0.25">
      <c r="S58">
        <f>IF(COUNT(N58:R58)=0,"",SUM(N58:R58))</f>
      </c>
      <c r="U58" s="2"/>
      <c r="V58" s="2"/>
      <c r="Y58" s="2"/>
      <c r="Z58" s="2"/>
    </row>
    <row r="59" spans="7:26" x14ac:dyDescent="0.25">
      <c r="S59">
        <f>IF(COUNT(N59:R59)=0,"",SUM(N59:R59))</f>
      </c>
      <c r="U59" s="2"/>
      <c r="V59" s="2"/>
      <c r="Y59" s="2"/>
      <c r="Z59" s="2"/>
    </row>
    <row r="60" spans="7:26" x14ac:dyDescent="0.25">
      <c r="S60">
        <f>IF(COUNT(N60:R60)=0,"",SUM(N60:R60))</f>
      </c>
      <c r="U60" s="2"/>
      <c r="V60" s="2"/>
      <c r="Y60" s="2"/>
      <c r="Z60" s="2"/>
    </row>
    <row r="61" spans="7:26" x14ac:dyDescent="0.25">
      <c r="S61">
        <f>IF(COUNT(N61:R61)=0,"",SUM(N61:R61))</f>
      </c>
      <c r="U61" s="2"/>
      <c r="V61" s="2"/>
      <c r="Y61" s="2"/>
      <c r="Z61" s="2"/>
    </row>
    <row r="62" spans="7:26" x14ac:dyDescent="0.25">
      <c r="S62">
        <f>IF(COUNT(N62:R62)=0,"",SUM(N62:R62))</f>
      </c>
      <c r="U62" s="2"/>
      <c r="V62" s="2"/>
      <c r="Y62" s="2"/>
      <c r="Z62" s="2"/>
    </row>
    <row r="63" spans="7:26" x14ac:dyDescent="0.25">
      <c r="S63">
        <f>IF(COUNT(N63:R63)=0,"",SUM(N63:R63))</f>
      </c>
      <c r="U63" s="2"/>
      <c r="V63" s="2"/>
      <c r="Y63" s="2"/>
      <c r="Z63" s="2"/>
    </row>
    <row r="64" spans="7:26" x14ac:dyDescent="0.25">
      <c r="S64">
        <f>IF(COUNT(N64:R64)=0,"",SUM(N64:R64))</f>
      </c>
      <c r="U64" s="2"/>
      <c r="V64" s="2"/>
      <c r="Y64" s="2"/>
      <c r="Z64" s="2"/>
    </row>
    <row r="65" spans="7:26" x14ac:dyDescent="0.25">
      <c r="S65">
        <f>IF(COUNT(N65:R65)=0,"",SUM(N65:R65))</f>
      </c>
      <c r="U65" s="2"/>
      <c r="V65" s="2"/>
      <c r="Y65" s="2"/>
      <c r="Z65" s="2"/>
    </row>
    <row r="66" spans="7:26" x14ac:dyDescent="0.25">
      <c r="S66">
        <f>IF(COUNT(N66:R66)=0,"",SUM(N66:R66))</f>
      </c>
      <c r="U66" s="2"/>
      <c r="V66" s="2"/>
      <c r="Y66" s="2"/>
      <c r="Z66" s="2"/>
    </row>
    <row r="67" spans="7:26" x14ac:dyDescent="0.25">
      <c r="S67">
        <f>IF(COUNT(N67:R67)=0,"",SUM(N67:R67))</f>
      </c>
      <c r="U67" s="2"/>
      <c r="V67" s="2"/>
      <c r="Y67" s="2"/>
      <c r="Z67" s="2"/>
    </row>
    <row r="68" spans="7:26" x14ac:dyDescent="0.25">
      <c r="S68">
        <f>IF(COUNT(N68:R68)=0,"",SUM(N68:R68))</f>
      </c>
      <c r="U68" s="2"/>
      <c r="V68" s="2"/>
      <c r="Y68" s="2"/>
      <c r="Z68" s="2"/>
    </row>
    <row r="69" spans="7:26" x14ac:dyDescent="0.25">
      <c r="S69">
        <f>IF(COUNT(N69:R69)=0,"",SUM(N69:R69))</f>
      </c>
      <c r="U69" s="2"/>
      <c r="V69" s="2"/>
      <c r="Y69" s="2"/>
      <c r="Z69" s="2"/>
    </row>
    <row r="70" spans="7:26" x14ac:dyDescent="0.25">
      <c r="S70">
        <f>IF(COUNT(N70:R70)=0,"",SUM(N70:R70))</f>
      </c>
      <c r="U70" s="2"/>
      <c r="V70" s="2"/>
      <c r="Y70" s="2"/>
      <c r="Z70" s="2"/>
    </row>
    <row r="71" spans="7:26" x14ac:dyDescent="0.25">
      <c r="S71">
        <f>IF(COUNT(N71:R71)=0,"",SUM(N71:R71))</f>
      </c>
      <c r="U71" s="2"/>
      <c r="V71" s="2"/>
      <c r="Y71" s="2"/>
      <c r="Z71" s="2"/>
    </row>
    <row r="72" spans="7:26" x14ac:dyDescent="0.25">
      <c r="S72">
        <f>IF(COUNT(N72:R72)=0,"",SUM(N72:R72))</f>
      </c>
      <c r="U72" s="2"/>
      <c r="V72" s="2"/>
      <c r="Y72" s="2"/>
      <c r="Z72" s="2"/>
    </row>
    <row r="73" spans="7:26" x14ac:dyDescent="0.25">
      <c r="S73">
        <f>IF(COUNT(N73:R73)=0,"",SUM(N73:R73))</f>
      </c>
      <c r="U73" s="2"/>
      <c r="V73" s="2"/>
      <c r="Y73" s="2"/>
      <c r="Z73" s="2"/>
    </row>
    <row r="74" spans="7:26" x14ac:dyDescent="0.25">
      <c r="S74">
        <f>IF(COUNT(N74:R74)=0,"",SUM(N74:R74))</f>
      </c>
      <c r="U74" s="2"/>
      <c r="V74" s="2"/>
      <c r="Y74" s="2"/>
      <c r="Z74" s="2"/>
    </row>
    <row r="75" spans="7:26" x14ac:dyDescent="0.25">
      <c r="S75">
        <f>IF(COUNT(N75:R75)=0,"",SUM(N75:R75))</f>
      </c>
      <c r="U75" s="2"/>
      <c r="V75" s="2"/>
      <c r="Y75" s="2"/>
      <c r="Z75" s="2"/>
    </row>
    <row r="76" spans="7:26" x14ac:dyDescent="0.25">
      <c r="S76">
        <f>IF(COUNT(N76:R76)=0,"",SUM(N76:R76))</f>
      </c>
      <c r="U76" s="2"/>
      <c r="V76" s="2"/>
      <c r="Y76" s="2"/>
      <c r="Z76" s="2"/>
    </row>
    <row r="77" spans="7:26" x14ac:dyDescent="0.25">
      <c r="S77">
        <f>IF(COUNT(N77:R77)=0,"",SUM(N77:R77))</f>
      </c>
      <c r="U77" s="2"/>
      <c r="V77" s="2"/>
      <c r="Y77" s="2"/>
      <c r="Z77" s="2"/>
    </row>
    <row r="78" spans="7:26" x14ac:dyDescent="0.25">
      <c r="S78">
        <f>IF(COUNT(N78:R78)=0,"",SUM(N78:R78))</f>
      </c>
      <c r="U78" s="2"/>
      <c r="V78" s="2"/>
      <c r="Y78" s="2"/>
      <c r="Z78" s="2"/>
    </row>
    <row r="79" spans="7:26" x14ac:dyDescent="0.25">
      <c r="S79">
        <f>IF(COUNT(N79:R79)=0,"",SUM(N79:R79))</f>
      </c>
      <c r="U79" s="2"/>
      <c r="V79" s="2"/>
      <c r="Y79" s="2"/>
      <c r="Z79" s="2"/>
    </row>
    <row r="80" spans="7:26" x14ac:dyDescent="0.25">
      <c r="S80">
        <f>IF(COUNT(N80:R80)=0,"",SUM(N80:R80))</f>
      </c>
      <c r="U80" s="2"/>
      <c r="V80" s="2"/>
      <c r="Y80" s="2"/>
      <c r="Z80" s="2"/>
    </row>
    <row r="81" spans="7:26" x14ac:dyDescent="0.25">
      <c r="S81">
        <f>IF(COUNT(N81:R81)=0,"",SUM(N81:R81))</f>
      </c>
      <c r="U81" s="2"/>
      <c r="V81" s="2"/>
      <c r="Y81" s="2"/>
      <c r="Z81" s="2"/>
    </row>
    <row r="82" spans="7:26" x14ac:dyDescent="0.25">
      <c r="S82">
        <f>IF(COUNT(N82:R82)=0,"",SUM(N82:R82))</f>
      </c>
      <c r="U82" s="2"/>
      <c r="V82" s="2"/>
      <c r="Y82" s="2"/>
      <c r="Z82" s="2"/>
    </row>
    <row r="83" spans="7:26" x14ac:dyDescent="0.25">
      <c r="S83">
        <f>IF(COUNT(N83:R83)=0,"",SUM(N83:R83))</f>
      </c>
      <c r="U83" s="2"/>
      <c r="V83" s="2"/>
      <c r="Y83" s="2"/>
      <c r="Z83" s="2"/>
    </row>
    <row r="84" spans="7:26" x14ac:dyDescent="0.25">
      <c r="S84">
        <f>IF(COUNT(N84:R84)=0,"",SUM(N84:R84))</f>
      </c>
      <c r="U84" s="2"/>
      <c r="V84" s="2"/>
      <c r="Y84" s="2"/>
      <c r="Z84" s="2"/>
    </row>
    <row r="85" spans="7:26" x14ac:dyDescent="0.25">
      <c r="S85">
        <f>IF(COUNT(N85:R85)=0,"",SUM(N85:R85))</f>
      </c>
      <c r="U85" s="2"/>
      <c r="V85" s="2"/>
      <c r="Y85" s="2"/>
      <c r="Z85" s="2"/>
    </row>
    <row r="86" spans="7:26" x14ac:dyDescent="0.25">
      <c r="S86">
        <f>IF(COUNT(N86:R86)=0,"",SUM(N86:R86))</f>
      </c>
      <c r="U86" s="2"/>
      <c r="V86" s="2"/>
      <c r="Y86" s="2"/>
      <c r="Z86" s="2"/>
    </row>
    <row r="87" spans="7:26" x14ac:dyDescent="0.25">
      <c r="S87">
        <f>IF(COUNT(N87:R87)=0,"",SUM(N87:R87))</f>
      </c>
      <c r="U87" s="2"/>
      <c r="V87" s="2"/>
      <c r="Y87" s="2"/>
      <c r="Z87" s="2"/>
    </row>
    <row r="88" spans="7:26" x14ac:dyDescent="0.25">
      <c r="S88">
        <f>IF(COUNT(N88:R88)=0,"",SUM(N88:R88))</f>
      </c>
      <c r="U88" s="2"/>
      <c r="V88" s="2"/>
      <c r="Y88" s="2"/>
      <c r="Z88" s="2"/>
    </row>
    <row r="89" spans="7:26" x14ac:dyDescent="0.25">
      <c r="S89">
        <f>IF(COUNT(N89:R89)=0,"",SUM(N89:R89))</f>
      </c>
      <c r="U89" s="2"/>
      <c r="V89" s="2"/>
      <c r="Y89" s="2"/>
      <c r="Z89" s="2"/>
    </row>
    <row r="90" spans="7:26" x14ac:dyDescent="0.25">
      <c r="S90">
        <f>IF(COUNT(N90:R90)=0,"",SUM(N90:R90))</f>
      </c>
      <c r="U90" s="2"/>
      <c r="V90" s="2"/>
      <c r="Y90" s="2"/>
      <c r="Z90" s="2"/>
    </row>
    <row r="91" spans="7:26" x14ac:dyDescent="0.25">
      <c r="S91">
        <f>IF(COUNT(N91:R91)=0,"",SUM(N91:R91))</f>
      </c>
      <c r="U91" s="2"/>
      <c r="V91" s="2"/>
      <c r="Y91" s="2"/>
      <c r="Z91" s="2"/>
    </row>
    <row r="92" spans="7:26" x14ac:dyDescent="0.25">
      <c r="S92">
        <f>IF(COUNT(N92:R92)=0,"",SUM(N92:R92))</f>
      </c>
      <c r="U92" s="2"/>
      <c r="V92" s="2"/>
      <c r="Y92" s="2"/>
      <c r="Z92" s="2"/>
    </row>
    <row r="93" spans="7:26" x14ac:dyDescent="0.25">
      <c r="S93">
        <f>IF(COUNT(N93:R93)=0,"",SUM(N93:R93))</f>
      </c>
      <c r="U93" s="2"/>
      <c r="V93" s="2"/>
      <c r="Y93" s="2"/>
      <c r="Z93" s="2"/>
    </row>
    <row r="94" spans="7:26" x14ac:dyDescent="0.25">
      <c r="S94">
        <f>IF(COUNT(N94:R94)=0,"",SUM(N94:R94))</f>
      </c>
      <c r="U94" s="2"/>
      <c r="V94" s="2"/>
      <c r="Y94" s="2"/>
      <c r="Z94" s="2"/>
    </row>
    <row r="95" spans="7:26" x14ac:dyDescent="0.25">
      <c r="S95">
        <f>IF(COUNT(N95:R95)=0,"",SUM(N95:R95))</f>
      </c>
      <c r="U95" s="2"/>
      <c r="V95" s="2"/>
      <c r="Y95" s="2"/>
      <c r="Z95" s="2"/>
    </row>
    <row r="96" spans="7:26" x14ac:dyDescent="0.25">
      <c r="S96">
        <f>IF(COUNT(N96:R96)=0,"",SUM(N96:R96))</f>
      </c>
      <c r="U96" s="2"/>
      <c r="V96" s="2"/>
      <c r="Y96" s="2"/>
      <c r="Z96" s="2"/>
    </row>
    <row r="97" spans="7:26" x14ac:dyDescent="0.25">
      <c r="S97">
        <f>IF(COUNT(N97:R97)=0,"",SUM(N97:R97))</f>
      </c>
      <c r="U97" s="2"/>
      <c r="V97" s="2"/>
      <c r="Y97" s="2"/>
      <c r="Z97" s="2"/>
    </row>
    <row r="98" spans="7:26" x14ac:dyDescent="0.25">
      <c r="S98">
        <f>IF(COUNT(N98:R98)=0,"",SUM(N98:R98))</f>
      </c>
      <c r="U98" s="2"/>
      <c r="V98" s="2"/>
      <c r="Y98" s="2"/>
      <c r="Z98" s="2"/>
    </row>
    <row r="99" spans="7:26" x14ac:dyDescent="0.25">
      <c r="S99">
        <f>IF(COUNT(N99:R99)=0,"",SUM(N99:R99))</f>
      </c>
      <c r="U99" s="2"/>
      <c r="V99" s="2"/>
      <c r="Y99" s="2"/>
      <c r="Z99" s="2"/>
    </row>
    <row r="100" spans="7:26" x14ac:dyDescent="0.25">
      <c r="S100">
        <f>IF(COUNT(N100:R100)=0,"",SUM(N100:R100))</f>
      </c>
      <c r="U100" s="2"/>
      <c r="V100" s="2"/>
      <c r="Y100" s="2"/>
      <c r="Z100" s="2"/>
    </row>
    <row r="101" spans="7:26" x14ac:dyDescent="0.25">
      <c r="S101">
        <f>IF(COUNT(N101:R101)=0,"",SUM(N101:R101))</f>
      </c>
      <c r="U101" s="2"/>
      <c r="V101" s="2"/>
      <c r="Y101" s="2"/>
      <c r="Z101" s="2"/>
    </row>
    <row r="102" spans="7:26" x14ac:dyDescent="0.25">
      <c r="S102">
        <f>IF(COUNT(N102:R102)=0,"",SUM(N102:R102))</f>
      </c>
      <c r="U102" s="2"/>
      <c r="V102" s="2"/>
      <c r="Y102" s="2"/>
      <c r="Z102" s="2"/>
    </row>
    <row r="103" spans="7:26" x14ac:dyDescent="0.25">
      <c r="S103">
        <f>IF(COUNT(N103:R103)=0,"",SUM(N103:R103))</f>
      </c>
      <c r="U103" s="2"/>
      <c r="V103" s="2"/>
      <c r="Y103" s="2"/>
      <c r="Z103" s="2"/>
    </row>
    <row r="104" spans="7:26" x14ac:dyDescent="0.25">
      <c r="S104">
        <f>IF(COUNT(N104:R104)=0,"",SUM(N104:R104))</f>
      </c>
      <c r="U104" s="2"/>
      <c r="V104" s="2"/>
      <c r="Y104" s="2"/>
      <c r="Z104" s="2"/>
    </row>
    <row r="105" spans="7:26" x14ac:dyDescent="0.25">
      <c r="S105">
        <f>IF(COUNT(N105:R105)=0,"",SUM(N105:R105))</f>
      </c>
      <c r="U105" s="2"/>
      <c r="V105" s="2"/>
      <c r="Y105" s="2"/>
      <c r="Z105" s="2"/>
    </row>
    <row r="106" spans="7:26" x14ac:dyDescent="0.25">
      <c r="S106">
        <f>IF(COUNT(N106:R106)=0,"",SUM(N106:R106))</f>
      </c>
      <c r="U106" s="2"/>
      <c r="V106" s="2"/>
      <c r="Y106" s="2"/>
      <c r="Z106" s="2"/>
    </row>
    <row r="107" spans="7:26" x14ac:dyDescent="0.25">
      <c r="S107">
        <f>IF(COUNT(N107:R107)=0,"",SUM(N107:R107))</f>
      </c>
      <c r="U107" s="2"/>
      <c r="V107" s="2"/>
      <c r="Y107" s="2"/>
      <c r="Z107" s="2"/>
    </row>
    <row r="108" spans="7:26" x14ac:dyDescent="0.25">
      <c r="S108">
        <f>IF(COUNT(N108:R108)=0,"",SUM(N108:R108))</f>
      </c>
      <c r="U108" s="2"/>
      <c r="V108" s="2"/>
      <c r="Y108" s="2"/>
      <c r="Z108" s="2"/>
    </row>
    <row r="109" spans="7:26" x14ac:dyDescent="0.25">
      <c r="S109">
        <f>IF(COUNT(N109:R109)=0,"",SUM(N109:R109))</f>
      </c>
      <c r="U109" s="2"/>
      <c r="V109" s="2"/>
      <c r="Y109" s="2"/>
      <c r="Z109" s="2"/>
    </row>
    <row r="110" spans="7:26" x14ac:dyDescent="0.25">
      <c r="S110">
        <f>IF(COUNT(N110:R110)=0,"",SUM(N110:R110))</f>
      </c>
      <c r="U110" s="2"/>
      <c r="V110" s="2"/>
      <c r="Y110" s="2"/>
      <c r="Z110" s="2"/>
    </row>
    <row r="111" spans="7:26" x14ac:dyDescent="0.25">
      <c r="S111">
        <f>IF(COUNT(N111:R111)=0,"",SUM(N111:R111))</f>
      </c>
      <c r="U111" s="2"/>
      <c r="V111" s="2"/>
      <c r="Y111" s="2"/>
      <c r="Z111" s="2"/>
    </row>
    <row r="112" spans="7:26" x14ac:dyDescent="0.25">
      <c r="S112">
        <f>IF(COUNT(N112:R112)=0,"",SUM(N112:R112))</f>
      </c>
      <c r="U112" s="2"/>
      <c r="V112" s="2"/>
      <c r="Y112" s="2"/>
      <c r="Z112" s="2"/>
    </row>
    <row r="113" spans="7:26" x14ac:dyDescent="0.25">
      <c r="S113">
        <f>IF(COUNT(N113:R113)=0,"",SUM(N113:R113))</f>
      </c>
      <c r="U113" s="2"/>
      <c r="V113" s="2"/>
      <c r="Y113" s="2"/>
      <c r="Z113" s="2"/>
    </row>
    <row r="114" spans="7:26" x14ac:dyDescent="0.25">
      <c r="S114">
        <f>IF(COUNT(N114:R114)=0,"",SUM(N114:R114))</f>
      </c>
      <c r="U114" s="2"/>
      <c r="V114" s="2"/>
      <c r="Y114" s="2"/>
      <c r="Z114" s="2"/>
    </row>
    <row r="115" spans="7:26" x14ac:dyDescent="0.25">
      <c r="S115">
        <f>IF(COUNT(N115:R115)=0,"",SUM(N115:R115))</f>
      </c>
      <c r="U115" s="2"/>
      <c r="V115" s="2"/>
      <c r="Y115" s="2"/>
      <c r="Z115" s="2"/>
    </row>
    <row r="116" spans="7:26" x14ac:dyDescent="0.25">
      <c r="S116">
        <f>IF(COUNT(N116:R116)=0,"",SUM(N116:R116))</f>
      </c>
      <c r="U116" s="2"/>
      <c r="V116" s="2"/>
      <c r="Y116" s="2"/>
      <c r="Z116" s="2"/>
    </row>
    <row r="117" spans="7:26" x14ac:dyDescent="0.25">
      <c r="S117">
        <f>IF(COUNT(N117:R117)=0,"",SUM(N117:R117))</f>
      </c>
      <c r="U117" s="2"/>
      <c r="V117" s="2"/>
      <c r="Y117" s="2"/>
      <c r="Z117" s="2"/>
    </row>
    <row r="118" spans="7:26" x14ac:dyDescent="0.25">
      <c r="S118">
        <f>IF(COUNT(N118:R118)=0,"",SUM(N118:R118))</f>
      </c>
      <c r="U118" s="2"/>
      <c r="V118" s="2"/>
      <c r="Y118" s="2"/>
      <c r="Z118" s="2"/>
    </row>
    <row r="119" spans="7:26" x14ac:dyDescent="0.25">
      <c r="S119">
        <f>IF(COUNT(N119:R119)=0,"",SUM(N119:R119))</f>
      </c>
      <c r="U119" s="2"/>
      <c r="V119" s="2"/>
      <c r="Y119" s="2"/>
      <c r="Z119" s="2"/>
    </row>
    <row r="120" spans="7:26" x14ac:dyDescent="0.25">
      <c r="S120">
        <f>IF(COUNT(N120:R120)=0,"",SUM(N120:R120))</f>
      </c>
      <c r="U120" s="2"/>
      <c r="V120" s="2"/>
      <c r="Y120" s="2"/>
      <c r="Z120" s="2"/>
    </row>
    <row r="121" spans="7:26" x14ac:dyDescent="0.25">
      <c r="S121">
        <f>IF(COUNT(N121:R121)=0,"",SUM(N121:R121))</f>
      </c>
      <c r="U121" s="2"/>
      <c r="V121" s="2"/>
      <c r="Y121" s="2"/>
      <c r="Z121" s="2"/>
    </row>
    <row r="122" spans="7:26" x14ac:dyDescent="0.25">
      <c r="S122">
        <f>IF(COUNT(N122:R122)=0,"",SUM(N122:R122))</f>
      </c>
      <c r="U122" s="2"/>
      <c r="V122" s="2"/>
      <c r="Y122" s="2"/>
      <c r="Z122" s="2"/>
    </row>
    <row r="123" spans="7:26" x14ac:dyDescent="0.25">
      <c r="S123">
        <f>IF(COUNT(N123:R123)=0,"",SUM(N123:R123))</f>
      </c>
      <c r="U123" s="2"/>
      <c r="V123" s="2"/>
      <c r="Y123" s="2"/>
      <c r="Z123" s="2"/>
    </row>
    <row r="124" spans="7:26" x14ac:dyDescent="0.25">
      <c r="S124">
        <f>IF(COUNT(N124:R124)=0,"",SUM(N124:R124))</f>
      </c>
      <c r="U124" s="2"/>
      <c r="V124" s="2"/>
      <c r="Y124" s="2"/>
      <c r="Z124" s="2"/>
    </row>
    <row r="125" spans="7:26" x14ac:dyDescent="0.25">
      <c r="S125">
        <f>IF(COUNT(N125:R125)=0,"",SUM(N125:R125))</f>
      </c>
      <c r="U125" s="2"/>
      <c r="V125" s="2"/>
      <c r="Y125" s="2"/>
      <c r="Z125" s="2"/>
    </row>
    <row r="126" spans="7:26" x14ac:dyDescent="0.25">
      <c r="S126">
        <f>IF(COUNT(N126:R126)=0,"",SUM(N126:R126))</f>
      </c>
      <c r="U126" s="2"/>
      <c r="V126" s="2"/>
      <c r="Y126" s="2"/>
      <c r="Z126" s="2"/>
    </row>
    <row r="127" spans="7:26" x14ac:dyDescent="0.25">
      <c r="S127">
        <f>IF(COUNT(N127:R127)=0,"",SUM(N127:R127))</f>
      </c>
      <c r="U127" s="2"/>
      <c r="V127" s="2"/>
      <c r="Y127" s="2"/>
      <c r="Z127" s="2"/>
    </row>
    <row r="128" spans="7:26" x14ac:dyDescent="0.25">
      <c r="S128">
        <f>IF(COUNT(N128:R128)=0,"",SUM(N128:R128))</f>
      </c>
      <c r="U128" s="2"/>
      <c r="V128" s="2"/>
      <c r="Y128" s="2"/>
      <c r="Z128" s="2"/>
    </row>
    <row r="129" spans="7:26" x14ac:dyDescent="0.25">
      <c r="S129">
        <f>IF(COUNT(N129:R129)=0,"",SUM(N129:R129))</f>
      </c>
      <c r="U129" s="2"/>
      <c r="V129" s="2"/>
      <c r="Y129" s="2"/>
      <c r="Z129" s="2"/>
    </row>
    <row r="130" spans="7:26" x14ac:dyDescent="0.25">
      <c r="S130">
        <f>IF(COUNT(N130:R130)=0,"",SUM(N130:R130))</f>
      </c>
      <c r="U130" s="2"/>
      <c r="V130" s="2"/>
      <c r="Y130" s="2"/>
      <c r="Z130" s="2"/>
    </row>
    <row r="131" spans="7:26" x14ac:dyDescent="0.25">
      <c r="S131">
        <f>IF(COUNT(N131:R131)=0,"",SUM(N131:R131))</f>
      </c>
      <c r="U131" s="2"/>
      <c r="V131" s="2"/>
      <c r="Y131" s="2"/>
      <c r="Z131" s="2"/>
    </row>
    <row r="132" spans="7:26" x14ac:dyDescent="0.25">
      <c r="S132">
        <f>IF(COUNT(N132:R132)=0,"",SUM(N132:R132))</f>
      </c>
      <c r="U132" s="2"/>
      <c r="V132" s="2"/>
      <c r="Y132" s="2"/>
      <c r="Z132" s="2"/>
    </row>
    <row r="133" spans="7:26" x14ac:dyDescent="0.25">
      <c r="S133">
        <f>IF(COUNT(N133:R133)=0,"",SUM(N133:R133))</f>
      </c>
      <c r="U133" s="2"/>
      <c r="V133" s="2"/>
      <c r="Y133" s="2"/>
      <c r="Z133" s="2"/>
    </row>
    <row r="134" spans="7:26" x14ac:dyDescent="0.25">
      <c r="S134">
        <f>IF(COUNT(N134:R134)=0,"",SUM(N134:R134))</f>
      </c>
      <c r="U134" s="2"/>
      <c r="V134" s="2"/>
      <c r="Y134" s="2"/>
      <c r="Z134" s="2"/>
    </row>
    <row r="135" spans="7:26" x14ac:dyDescent="0.25">
      <c r="S135">
        <f>IF(COUNT(N135:R135)=0,"",SUM(N135:R135))</f>
      </c>
      <c r="U135" s="2"/>
      <c r="V135" s="2"/>
      <c r="Y135" s="2"/>
      <c r="Z135" s="2"/>
    </row>
    <row r="136" spans="7:26" x14ac:dyDescent="0.25">
      <c r="S136">
        <f>IF(COUNT(N136:R136)=0,"",SUM(N136:R136))</f>
      </c>
      <c r="U136" s="2"/>
      <c r="V136" s="2"/>
      <c r="Y136" s="2"/>
      <c r="Z136" s="2"/>
    </row>
    <row r="137" spans="7:26" x14ac:dyDescent="0.25">
      <c r="S137">
        <f>IF(COUNT(N137:R137)=0,"",SUM(N137:R137))</f>
      </c>
      <c r="U137" s="2"/>
      <c r="V137" s="2"/>
      <c r="Y137" s="2"/>
      <c r="Z137" s="2"/>
    </row>
    <row r="138" spans="7:26" x14ac:dyDescent="0.25">
      <c r="S138">
        <f>IF(COUNT(N138:R138)=0,"",SUM(N138:R138))</f>
      </c>
      <c r="U138" s="2"/>
      <c r="V138" s="2"/>
      <c r="Y138" s="2"/>
      <c r="Z138" s="2"/>
    </row>
    <row r="139" spans="7:26" x14ac:dyDescent="0.25">
      <c r="S139">
        <f>IF(COUNT(N139:R139)=0,"",SUM(N139:R139))</f>
      </c>
      <c r="U139" s="2"/>
      <c r="V139" s="2"/>
      <c r="Y139" s="2"/>
      <c r="Z139" s="2"/>
    </row>
    <row r="140" spans="7:26" x14ac:dyDescent="0.25">
      <c r="S140">
        <f>IF(COUNT(N140:R140)=0,"",SUM(N140:R140))</f>
      </c>
      <c r="U140" s="2"/>
      <c r="V140" s="2"/>
      <c r="Y140" s="2"/>
      <c r="Z140" s="2"/>
    </row>
    <row r="141" spans="7:26" x14ac:dyDescent="0.25">
      <c r="S141">
        <f>IF(COUNT(N141:R141)=0,"",SUM(N141:R141))</f>
      </c>
      <c r="U141" s="2"/>
      <c r="V141" s="2"/>
      <c r="Y141" s="2"/>
      <c r="Z141" s="2"/>
    </row>
    <row r="142" spans="7:26" x14ac:dyDescent="0.25">
      <c r="S142">
        <f>IF(COUNT(N142:R142)=0,"",SUM(N142:R142))</f>
      </c>
      <c r="U142" s="2"/>
      <c r="V142" s="2"/>
      <c r="Y142" s="2"/>
      <c r="Z142" s="2"/>
    </row>
    <row r="143" spans="7:26" x14ac:dyDescent="0.25">
      <c r="S143">
        <f>IF(COUNT(N143:R143)=0,"",SUM(N143:R143))</f>
      </c>
      <c r="U143" s="2"/>
      <c r="V143" s="2"/>
      <c r="Y143" s="2"/>
      <c r="Z143" s="2"/>
    </row>
    <row r="144" spans="7:26" x14ac:dyDescent="0.25">
      <c r="S144">
        <f>IF(COUNT(N144:R144)=0,"",SUM(N144:R144))</f>
      </c>
      <c r="U144" s="2"/>
      <c r="V144" s="2"/>
      <c r="Y144" s="2"/>
      <c r="Z144" s="2"/>
    </row>
    <row r="145" spans="7:26" x14ac:dyDescent="0.25">
      <c r="S145">
        <f>IF(COUNT(N145:R145)=0,"",SUM(N145:R145))</f>
      </c>
      <c r="U145" s="2"/>
      <c r="V145" s="2"/>
      <c r="Y145" s="2"/>
      <c r="Z145" s="2"/>
    </row>
    <row r="146" spans="7:26" x14ac:dyDescent="0.25">
      <c r="S146">
        <f>IF(COUNT(N146:R146)=0,"",SUM(N146:R146))</f>
      </c>
      <c r="U146" s="2"/>
      <c r="V146" s="2"/>
      <c r="Y146" s="2"/>
      <c r="Z146" s="2"/>
    </row>
    <row r="147" spans="7:26" x14ac:dyDescent="0.25">
      <c r="S147">
        <f>IF(COUNT(N147:R147)=0,"",SUM(N147:R147))</f>
      </c>
      <c r="U147" s="2"/>
      <c r="V147" s="2"/>
      <c r="Y147" s="2"/>
      <c r="Z147" s="2"/>
    </row>
    <row r="148" spans="7:26" x14ac:dyDescent="0.25">
      <c r="S148">
        <f>IF(COUNT(N148:R148)=0,"",SUM(N148:R148))</f>
      </c>
      <c r="U148" s="2"/>
      <c r="V148" s="2"/>
      <c r="Y148" s="2"/>
      <c r="Z148" s="2"/>
    </row>
    <row r="149" spans="7:26" x14ac:dyDescent="0.25">
      <c r="S149">
        <f>IF(COUNT(N149:R149)=0,"",SUM(N149:R149))</f>
      </c>
      <c r="U149" s="2"/>
      <c r="V149" s="2"/>
      <c r="Y149" s="2"/>
      <c r="Z149" s="2"/>
    </row>
    <row r="150" spans="7:26" x14ac:dyDescent="0.25">
      <c r="S150">
        <f>IF(COUNT(N150:R150)=0,"",SUM(N150:R150))</f>
      </c>
      <c r="U150" s="2"/>
      <c r="V150" s="2"/>
      <c r="Y150" s="2"/>
      <c r="Z150" s="2"/>
    </row>
    <row r="151" spans="7:26" x14ac:dyDescent="0.25">
      <c r="S151">
        <f>IF(COUNT(N151:R151)=0,"",SUM(N151:R151))</f>
      </c>
      <c r="U151" s="2"/>
      <c r="V151" s="2"/>
      <c r="Y151" s="2"/>
      <c r="Z151" s="2"/>
    </row>
    <row r="152" spans="7:26" x14ac:dyDescent="0.25">
      <c r="S152">
        <f>IF(COUNT(N152:R152)=0,"",SUM(N152:R152))</f>
      </c>
      <c r="U152" s="2"/>
      <c r="V152" s="2"/>
      <c r="Y152" s="2"/>
      <c r="Z152" s="2"/>
    </row>
    <row r="153" spans="7:26" x14ac:dyDescent="0.25">
      <c r="S153">
        <f>IF(COUNT(N153:R153)=0,"",SUM(N153:R153))</f>
      </c>
      <c r="U153" s="2"/>
      <c r="V153" s="2"/>
      <c r="Y153" s="2"/>
      <c r="Z153" s="2"/>
    </row>
    <row r="154" spans="7:26" x14ac:dyDescent="0.25">
      <c r="S154">
        <f>IF(COUNT(N154:R154)=0,"",SUM(N154:R154))</f>
      </c>
      <c r="U154" s="2"/>
      <c r="V154" s="2"/>
      <c r="Y154" s="2"/>
      <c r="Z154" s="2"/>
    </row>
    <row r="155" spans="7:26" x14ac:dyDescent="0.25">
      <c r="S155">
        <f>IF(COUNT(N155:R155)=0,"",SUM(N155:R155))</f>
      </c>
      <c r="U155" s="2"/>
      <c r="V155" s="2"/>
      <c r="Y155" s="2"/>
      <c r="Z155" s="2"/>
    </row>
    <row r="156" spans="7:26" x14ac:dyDescent="0.25">
      <c r="S156">
        <f>IF(COUNT(N156:R156)=0,"",SUM(N156:R156))</f>
      </c>
      <c r="U156" s="2"/>
      <c r="V156" s="2"/>
      <c r="Y156" s="2"/>
      <c r="Z156" s="2"/>
    </row>
    <row r="157" spans="7:26" x14ac:dyDescent="0.25">
      <c r="S157">
        <f>IF(COUNT(N157:R157)=0,"",SUM(N157:R157))</f>
      </c>
      <c r="U157" s="2"/>
      <c r="V157" s="2"/>
      <c r="Y157" s="2"/>
      <c r="Z157" s="2"/>
    </row>
    <row r="158" spans="7:26" x14ac:dyDescent="0.25">
      <c r="S158">
        <f>IF(COUNT(N158:R158)=0,"",SUM(N158:R158))</f>
      </c>
      <c r="U158" s="2"/>
      <c r="V158" s="2"/>
      <c r="Y158" s="2"/>
      <c r="Z158" s="2"/>
    </row>
    <row r="159" spans="7:26" x14ac:dyDescent="0.25">
      <c r="S159">
        <f>IF(COUNT(N159:R159)=0,"",SUM(N159:R159))</f>
      </c>
      <c r="U159" s="2"/>
      <c r="V159" s="2"/>
      <c r="Y159" s="2"/>
      <c r="Z159" s="2"/>
    </row>
    <row r="160" spans="7:26" x14ac:dyDescent="0.25">
      <c r="S160">
        <f>IF(COUNT(N160:R160)=0,"",SUM(N160:R160))</f>
      </c>
      <c r="U160" s="2"/>
      <c r="V160" s="2"/>
      <c r="Y160" s="2"/>
      <c r="Z160" s="2"/>
    </row>
    <row r="161" spans="7:26" x14ac:dyDescent="0.25">
      <c r="S161">
        <f>IF(COUNT(N161:R161)=0,"",SUM(N161:R161))</f>
      </c>
      <c r="U161" s="2"/>
      <c r="V161" s="2"/>
      <c r="Y161" s="2"/>
      <c r="Z161" s="2"/>
    </row>
    <row r="162" spans="7:26" x14ac:dyDescent="0.25">
      <c r="S162">
        <f>IF(COUNT(N162:R162)=0,"",SUM(N162:R162))</f>
      </c>
      <c r="U162" s="2"/>
      <c r="V162" s="2"/>
      <c r="Y162" s="2"/>
      <c r="Z162" s="2"/>
    </row>
    <row r="163" spans="7:26" x14ac:dyDescent="0.25">
      <c r="S163">
        <f>IF(COUNT(N163:R163)=0,"",SUM(N163:R163))</f>
      </c>
      <c r="U163" s="2"/>
      <c r="V163" s="2"/>
      <c r="Y163" s="2"/>
      <c r="Z163" s="2"/>
    </row>
    <row r="164" spans="7:26" x14ac:dyDescent="0.25">
      <c r="S164">
        <f>IF(COUNT(N164:R164)=0,"",SUM(N164:R164))</f>
      </c>
      <c r="U164" s="2"/>
      <c r="V164" s="2"/>
      <c r="Y164" s="2"/>
      <c r="Z164" s="2"/>
    </row>
    <row r="165" spans="7:26" x14ac:dyDescent="0.25">
      <c r="S165">
        <f>IF(COUNT(N165:R165)=0,"",SUM(N165:R165))</f>
      </c>
      <c r="U165" s="2"/>
      <c r="V165" s="2"/>
      <c r="Y165" s="2"/>
      <c r="Z165" s="2"/>
    </row>
    <row r="166" spans="7:26" x14ac:dyDescent="0.25">
      <c r="S166">
        <f>IF(COUNT(N166:R166)=0,"",SUM(N166:R166))</f>
      </c>
      <c r="U166" s="2"/>
      <c r="V166" s="2"/>
      <c r="Y166" s="2"/>
      <c r="Z166" s="2"/>
    </row>
    <row r="167" spans="7:26" x14ac:dyDescent="0.25">
      <c r="S167">
        <f>IF(COUNT(N167:R167)=0,"",SUM(N167:R167))</f>
      </c>
      <c r="U167" s="2"/>
      <c r="V167" s="2"/>
      <c r="Y167" s="2"/>
      <c r="Z167" s="2"/>
    </row>
    <row r="168" spans="7:26" x14ac:dyDescent="0.25">
      <c r="S168">
        <f>IF(COUNT(N168:R168)=0,"",SUM(N168:R168))</f>
      </c>
      <c r="U168" s="2"/>
      <c r="V168" s="2"/>
      <c r="Y168" s="2"/>
      <c r="Z168" s="2"/>
    </row>
    <row r="169" spans="7:26" x14ac:dyDescent="0.25">
      <c r="S169">
        <f>IF(COUNT(N169:R169)=0,"",SUM(N169:R169))</f>
      </c>
      <c r="U169" s="2"/>
      <c r="V169" s="2"/>
      <c r="Y169" s="2"/>
      <c r="Z169" s="2"/>
    </row>
    <row r="170" spans="7:26" x14ac:dyDescent="0.25">
      <c r="S170">
        <f>IF(COUNT(N170:R170)=0,"",SUM(N170:R170))</f>
      </c>
      <c r="U170" s="2"/>
      <c r="V170" s="2"/>
      <c r="Y170" s="2"/>
      <c r="Z170" s="2"/>
    </row>
    <row r="171" spans="7:26" x14ac:dyDescent="0.25">
      <c r="S171">
        <f>IF(COUNT(N171:R171)=0,"",SUM(N171:R171))</f>
      </c>
      <c r="U171" s="2"/>
      <c r="V171" s="2"/>
      <c r="Y171" s="2"/>
      <c r="Z171" s="2"/>
    </row>
    <row r="172" spans="7:26" x14ac:dyDescent="0.25">
      <c r="S172">
        <f>IF(COUNT(N172:R172)=0,"",SUM(N172:R172))</f>
      </c>
      <c r="U172" s="2"/>
      <c r="V172" s="2"/>
      <c r="Y172" s="2"/>
      <c r="Z172" s="2"/>
    </row>
    <row r="173" spans="7:26" x14ac:dyDescent="0.25">
      <c r="S173">
        <f>IF(COUNT(N173:R173)=0,"",SUM(N173:R173))</f>
      </c>
      <c r="U173" s="2"/>
      <c r="V173" s="2"/>
      <c r="Y173" s="2"/>
      <c r="Z173" s="2"/>
    </row>
    <row r="174" spans="7:26" x14ac:dyDescent="0.25">
      <c r="S174">
        <f>IF(COUNT(N174:R174)=0,"",SUM(N174:R174))</f>
      </c>
      <c r="U174" s="2"/>
      <c r="V174" s="2"/>
      <c r="Y174" s="2"/>
      <c r="Z174" s="2"/>
    </row>
    <row r="175" spans="7:26" x14ac:dyDescent="0.25">
      <c r="S175">
        <f>IF(COUNT(N175:R175)=0,"",SUM(N175:R175))</f>
      </c>
      <c r="U175" s="2"/>
      <c r="V175" s="2"/>
      <c r="Y175" s="2"/>
      <c r="Z175" s="2"/>
    </row>
    <row r="176" spans="7:26" x14ac:dyDescent="0.25">
      <c r="S176">
        <f>IF(COUNT(N176:R176)=0,"",SUM(N176:R176))</f>
      </c>
      <c r="U176" s="2"/>
      <c r="V176" s="2"/>
      <c r="Y176" s="2"/>
      <c r="Z176" s="2"/>
    </row>
    <row r="177" spans="7:26" x14ac:dyDescent="0.25">
      <c r="S177">
        <f>IF(COUNT(N177:R177)=0,"",SUM(N177:R177))</f>
      </c>
      <c r="U177" s="2"/>
      <c r="V177" s="2"/>
      <c r="Y177" s="2"/>
      <c r="Z177" s="2"/>
    </row>
    <row r="178" spans="7:26" x14ac:dyDescent="0.25">
      <c r="S178">
        <f>IF(COUNT(N178:R178)=0,"",SUM(N178:R178))</f>
      </c>
      <c r="U178" s="2"/>
      <c r="V178" s="2"/>
      <c r="Y178" s="2"/>
      <c r="Z178" s="2"/>
    </row>
    <row r="179" spans="7:26" x14ac:dyDescent="0.25">
      <c r="S179">
        <f>IF(COUNT(N179:R179)=0,"",SUM(N179:R179))</f>
      </c>
      <c r="U179" s="2"/>
      <c r="V179" s="2"/>
      <c r="Y179" s="2"/>
      <c r="Z179" s="2"/>
    </row>
    <row r="180" spans="7:26" x14ac:dyDescent="0.25">
      <c r="S180">
        <f>IF(COUNT(N180:R180)=0,"",SUM(N180:R180))</f>
      </c>
      <c r="U180" s="2"/>
      <c r="V180" s="2"/>
      <c r="Y180" s="2"/>
      <c r="Z180" s="2"/>
    </row>
    <row r="181" spans="7:26" x14ac:dyDescent="0.25">
      <c r="S181">
        <f>IF(COUNT(N181:R181)=0,"",SUM(N181:R181))</f>
      </c>
      <c r="U181" s="2"/>
      <c r="V181" s="2"/>
      <c r="Y181" s="2"/>
      <c r="Z181" s="2"/>
    </row>
    <row r="182" spans="7:26" x14ac:dyDescent="0.25">
      <c r="S182">
        <f>IF(COUNT(N182:R182)=0,"",SUM(N182:R182))</f>
      </c>
      <c r="U182" s="2"/>
      <c r="V182" s="2"/>
      <c r="Y182" s="2"/>
      <c r="Z182" s="2"/>
    </row>
    <row r="183" spans="7:26" x14ac:dyDescent="0.25">
      <c r="S183">
        <f>IF(COUNT(N183:R183)=0,"",SUM(N183:R183))</f>
      </c>
      <c r="U183" s="2"/>
      <c r="V183" s="2"/>
      <c r="Y183" s="2"/>
      <c r="Z183" s="2"/>
    </row>
    <row r="184" spans="7:26" x14ac:dyDescent="0.25">
      <c r="S184">
        <f>IF(COUNT(N184:R184)=0,"",SUM(N184:R184))</f>
      </c>
      <c r="U184" s="2"/>
      <c r="V184" s="2"/>
      <c r="Y184" s="2"/>
      <c r="Z184" s="2"/>
    </row>
    <row r="185" spans="7:26" x14ac:dyDescent="0.25">
      <c r="S185">
        <f>IF(COUNT(N185:R185)=0,"",SUM(N185:R185))</f>
      </c>
      <c r="U185" s="2"/>
      <c r="V185" s="2"/>
      <c r="Y185" s="2"/>
      <c r="Z185" s="2"/>
    </row>
    <row r="186" spans="7:26" x14ac:dyDescent="0.25">
      <c r="S186">
        <f>IF(COUNT(N186:R186)=0,"",SUM(N186:R186))</f>
      </c>
      <c r="U186" s="2"/>
      <c r="V186" s="2"/>
      <c r="Y186" s="2"/>
      <c r="Z186" s="2"/>
    </row>
    <row r="187" spans="7:26" x14ac:dyDescent="0.25">
      <c r="S187">
        <f>IF(COUNT(N187:R187)=0,"",SUM(N187:R187))</f>
      </c>
      <c r="U187" s="2"/>
      <c r="V187" s="2"/>
      <c r="Y187" s="2"/>
      <c r="Z187" s="2"/>
    </row>
    <row r="188" spans="7:26" x14ac:dyDescent="0.25">
      <c r="S188">
        <f>IF(COUNT(N188:R188)=0,"",SUM(N188:R188))</f>
      </c>
      <c r="U188" s="2"/>
      <c r="V188" s="2"/>
      <c r="Y188" s="2"/>
      <c r="Z188" s="2"/>
    </row>
    <row r="189" spans="7:26" x14ac:dyDescent="0.25">
      <c r="S189">
        <f>IF(COUNT(N189:R189)=0,"",SUM(N189:R189))</f>
      </c>
      <c r="U189" s="2"/>
      <c r="V189" s="2"/>
      <c r="Y189" s="2"/>
      <c r="Z189" s="2"/>
    </row>
    <row r="190" spans="7:26" x14ac:dyDescent="0.25">
      <c r="S190">
        <f>IF(COUNT(N190:R190)=0,"",SUM(N190:R190))</f>
      </c>
      <c r="U190" s="2"/>
      <c r="V190" s="2"/>
      <c r="Y190" s="2"/>
      <c r="Z190" s="2"/>
    </row>
    <row r="191" spans="7:26" x14ac:dyDescent="0.25">
      <c r="S191">
        <f>IF(COUNT(N191:R191)=0,"",SUM(N191:R191))</f>
      </c>
      <c r="U191" s="2"/>
      <c r="V191" s="2"/>
      <c r="Y191" s="2"/>
      <c r="Z191" s="2"/>
    </row>
    <row r="192" spans="7:26" x14ac:dyDescent="0.25">
      <c r="S192">
        <f>IF(COUNT(N192:R192)=0,"",SUM(N192:R192))</f>
      </c>
      <c r="U192" s="2"/>
      <c r="V192" s="2"/>
      <c r="Y192" s="2"/>
      <c r="Z192" s="2"/>
    </row>
    <row r="193" spans="7:26" x14ac:dyDescent="0.25">
      <c r="S193">
        <f>IF(COUNT(N193:R193)=0,"",SUM(N193:R193))</f>
      </c>
      <c r="U193" s="2"/>
      <c r="V193" s="2"/>
      <c r="Y193" s="2"/>
      <c r="Z193" s="2"/>
    </row>
    <row r="194" spans="7:26" x14ac:dyDescent="0.25">
      <c r="S194">
        <f>IF(COUNT(N194:R194)=0,"",SUM(N194:R194))</f>
      </c>
      <c r="U194" s="2"/>
      <c r="V194" s="2"/>
      <c r="Y194" s="2"/>
      <c r="Z194" s="2"/>
    </row>
    <row r="195" spans="7:26" x14ac:dyDescent="0.25">
      <c r="S195">
        <f>IF(COUNT(N195:R195)=0,"",SUM(N195:R195))</f>
      </c>
      <c r="U195" s="2"/>
      <c r="V195" s="2"/>
      <c r="Y195" s="2"/>
      <c r="Z195" s="2"/>
    </row>
    <row r="196" spans="7:26" x14ac:dyDescent="0.25">
      <c r="S196">
        <f>IF(COUNT(N196:R196)=0,"",SUM(N196:R196))</f>
      </c>
      <c r="U196" s="2"/>
      <c r="V196" s="2"/>
      <c r="Y196" s="2"/>
      <c r="Z196" s="2"/>
    </row>
    <row r="197" spans="7:26" x14ac:dyDescent="0.25">
      <c r="S197">
        <f>IF(COUNT(N197:R197)=0,"",SUM(N197:R197))</f>
      </c>
      <c r="U197" s="2"/>
      <c r="V197" s="2"/>
      <c r="Y197" s="2"/>
      <c r="Z197" s="2"/>
    </row>
    <row r="198" spans="7:26" x14ac:dyDescent="0.25">
      <c r="S198">
        <f>IF(COUNT(N198:R198)=0,"",SUM(N198:R198))</f>
      </c>
      <c r="U198" s="2"/>
      <c r="V198" s="2"/>
      <c r="Y198" s="2"/>
      <c r="Z198" s="2"/>
    </row>
    <row r="199" spans="7:26" x14ac:dyDescent="0.25">
      <c r="S199">
        <f>IF(COUNT(N199:R199)=0,"",SUM(N199:R199))</f>
      </c>
      <c r="U199" s="2"/>
      <c r="V199" s="2"/>
      <c r="Y199" s="2"/>
      <c r="Z199" s="2"/>
    </row>
    <row r="200" spans="7:26" x14ac:dyDescent="0.25">
      <c r="S200">
        <f>IF(COUNT(N200:R200)=0,"",SUM(N200:R200))</f>
      </c>
      <c r="U200" s="2"/>
      <c r="V200" s="2"/>
      <c r="Y200" s="2"/>
      <c r="Z200" s="2"/>
    </row>
    <row r="201" spans="7:26" x14ac:dyDescent="0.25">
      <c r="S201">
        <f>IF(COUNT(N201:R201)=0,"",SUM(N201:R201))</f>
      </c>
      <c r="U201" s="2"/>
      <c r="V201" s="2"/>
      <c r="Y201" s="2"/>
      <c r="Z201" s="2"/>
    </row>
    <row r="202" spans="7:26" x14ac:dyDescent="0.25">
      <c r="S202">
        <f>IF(COUNT(N202:R202)=0,"",SUM(N202:R202))</f>
      </c>
      <c r="U202" s="2"/>
      <c r="V202" s="2"/>
      <c r="Y202" s="2"/>
      <c r="Z202" s="2"/>
    </row>
    <row r="203" spans="7:26" x14ac:dyDescent="0.25">
      <c r="S203">
        <f>IF(COUNT(N203:R203)=0,"",SUM(N203:R203))</f>
      </c>
      <c r="U203" s="2"/>
      <c r="V203" s="2"/>
      <c r="Y203" s="2"/>
      <c r="Z203" s="2"/>
    </row>
    <row r="204" spans="7:26" x14ac:dyDescent="0.25">
      <c r="S204">
        <f>IF(COUNT(N204:R204)=0,"",SUM(N204:R204))</f>
      </c>
      <c r="U204" s="2"/>
      <c r="V204" s="2"/>
      <c r="Y204" s="2"/>
      <c r="Z204" s="2"/>
    </row>
    <row r="205" spans="7:26" x14ac:dyDescent="0.25">
      <c r="S205">
        <f>IF(COUNT(N205:R205)=0,"",SUM(N205:R205))</f>
      </c>
      <c r="U205" s="2"/>
      <c r="V205" s="2"/>
      <c r="Y205" s="2"/>
      <c r="Z205" s="2"/>
    </row>
    <row r="206" spans="7:26" x14ac:dyDescent="0.25">
      <c r="S206">
        <f>IF(COUNT(N206:R206)=0,"",SUM(N206:R206))</f>
      </c>
      <c r="U206" s="2"/>
      <c r="V206" s="2"/>
      <c r="Y206" s="2"/>
      <c r="Z206" s="2"/>
    </row>
    <row r="207" spans="7:26" x14ac:dyDescent="0.25">
      <c r="S207">
        <f>IF(COUNT(N207:R207)=0,"",SUM(N207:R207))</f>
      </c>
      <c r="U207" s="2"/>
      <c r="V207" s="2"/>
      <c r="Y207" s="2"/>
      <c r="Z207" s="2"/>
    </row>
    <row r="208" spans="7:26" x14ac:dyDescent="0.25">
      <c r="S208">
        <f>IF(COUNT(N208:R208)=0,"",SUM(N208:R208))</f>
      </c>
      <c r="U208" s="2"/>
      <c r="V208" s="2"/>
      <c r="Y208" s="2"/>
      <c r="Z208" s="2"/>
    </row>
    <row r="209" spans="7:26" x14ac:dyDescent="0.25">
      <c r="S209">
        <f>IF(COUNT(N209:R209)=0,"",SUM(N209:R209))</f>
      </c>
      <c r="U209" s="2"/>
      <c r="V209" s="2"/>
      <c r="Y209" s="2"/>
      <c r="Z209" s="2"/>
    </row>
    <row r="210" spans="7:26" x14ac:dyDescent="0.25">
      <c r="S210">
        <f>IF(COUNT(N210:R210)=0,"",SUM(N210:R210))</f>
      </c>
      <c r="U210" s="2"/>
      <c r="V210" s="2"/>
      <c r="Y210" s="2"/>
      <c r="Z210" s="2"/>
    </row>
    <row r="211" spans="7:26" x14ac:dyDescent="0.25">
      <c r="S211">
        <f>IF(COUNT(N211:R211)=0,"",SUM(N211:R211))</f>
      </c>
      <c r="U211" s="2"/>
      <c r="V211" s="2"/>
      <c r="Y211" s="2"/>
      <c r="Z211" s="2"/>
    </row>
    <row r="212" spans="7:26" x14ac:dyDescent="0.25">
      <c r="S212">
        <f>IF(COUNT(N212:R212)=0,"",SUM(N212:R212))</f>
      </c>
      <c r="U212" s="2"/>
      <c r="V212" s="2"/>
      <c r="Y212" s="2"/>
      <c r="Z212" s="2"/>
    </row>
    <row r="213" spans="7:26" x14ac:dyDescent="0.25">
      <c r="S213">
        <f>IF(COUNT(N213:R213)=0,"",SUM(N213:R213))</f>
      </c>
      <c r="U213" s="2"/>
      <c r="V213" s="2"/>
      <c r="Y213" s="2"/>
      <c r="Z213" s="2"/>
    </row>
    <row r="214" spans="7:26" x14ac:dyDescent="0.25">
      <c r="S214">
        <f>IF(COUNT(N214:R214)=0,"",SUM(N214:R214))</f>
      </c>
      <c r="U214" s="2"/>
      <c r="V214" s="2"/>
      <c r="Y214" s="2"/>
      <c r="Z214" s="2"/>
    </row>
    <row r="215" spans="7:26" x14ac:dyDescent="0.25">
      <c r="S215">
        <f>IF(COUNT(N215:R215)=0,"",SUM(N215:R215))</f>
      </c>
      <c r="U215" s="2"/>
      <c r="V215" s="2"/>
      <c r="Y215" s="2"/>
      <c r="Z215" s="2"/>
    </row>
    <row r="216" spans="7:26" x14ac:dyDescent="0.25">
      <c r="S216">
        <f>IF(COUNT(N216:R216)=0,"",SUM(N216:R216))</f>
      </c>
      <c r="U216" s="2"/>
      <c r="V216" s="2"/>
      <c r="Y216" s="2"/>
      <c r="Z216" s="2"/>
    </row>
    <row r="217" spans="7:26" x14ac:dyDescent="0.25">
      <c r="S217">
        <f>IF(COUNT(N217:R217)=0,"",SUM(N217:R217))</f>
      </c>
      <c r="U217" s="2"/>
      <c r="V217" s="2"/>
      <c r="Y217" s="2"/>
      <c r="Z217" s="2"/>
    </row>
    <row r="218" spans="7:26" x14ac:dyDescent="0.25">
      <c r="S218">
        <f>IF(COUNT(N218:R218)=0,"",SUM(N218:R218))</f>
      </c>
      <c r="U218" s="2"/>
      <c r="V218" s="2"/>
      <c r="Y218" s="2"/>
      <c r="Z218" s="2"/>
    </row>
    <row r="219" spans="7:26" x14ac:dyDescent="0.25">
      <c r="S219">
        <f>IF(COUNT(N219:R219)=0,"",SUM(N219:R219))</f>
      </c>
      <c r="U219" s="2"/>
      <c r="V219" s="2"/>
      <c r="Y219" s="2"/>
      <c r="Z219" s="2"/>
    </row>
    <row r="220" spans="7:26" x14ac:dyDescent="0.25">
      <c r="S220">
        <f>IF(COUNT(N220:R220)=0,"",SUM(N220:R220))</f>
      </c>
      <c r="U220" s="2"/>
      <c r="V220" s="2"/>
      <c r="Y220" s="2"/>
      <c r="Z220" s="2"/>
    </row>
    <row r="221" spans="7:26" x14ac:dyDescent="0.25">
      <c r="S221">
        <f>IF(COUNT(N221:R221)=0,"",SUM(N221:R221))</f>
      </c>
      <c r="U221" s="2"/>
      <c r="V221" s="2"/>
      <c r="Y221" s="2"/>
      <c r="Z221" s="2"/>
    </row>
    <row r="222" spans="7:26" x14ac:dyDescent="0.25">
      <c r="S222">
        <f>IF(COUNT(N222:R222)=0,"",SUM(N222:R222))</f>
      </c>
      <c r="U222" s="2"/>
      <c r="V222" s="2"/>
      <c r="Y222" s="2"/>
      <c r="Z222" s="2"/>
    </row>
    <row r="223" spans="7:26" x14ac:dyDescent="0.25">
      <c r="S223">
        <f>IF(COUNT(N223:R223)=0,"",SUM(N223:R223))</f>
      </c>
      <c r="U223" s="2"/>
      <c r="V223" s="2"/>
      <c r="Y223" s="2"/>
      <c r="Z223" s="2"/>
    </row>
    <row r="224" spans="7:26" x14ac:dyDescent="0.25">
      <c r="S224">
        <f>IF(COUNT(N224:R224)=0,"",SUM(N224:R224))</f>
      </c>
      <c r="U224" s="2"/>
      <c r="V224" s="2"/>
      <c r="Y224" s="2"/>
      <c r="Z224" s="2"/>
    </row>
    <row r="225" spans="7:26" x14ac:dyDescent="0.25">
      <c r="S225">
        <f>IF(COUNT(N225:R225)=0,"",SUM(N225:R225))</f>
      </c>
      <c r="U225" s="2"/>
      <c r="V225" s="2"/>
      <c r="Y225" s="2"/>
      <c r="Z225" s="2"/>
    </row>
    <row r="226" spans="7:26" x14ac:dyDescent="0.25">
      <c r="S226">
        <f>IF(COUNT(N226:R226)=0,"",SUM(N226:R226))</f>
      </c>
      <c r="U226" s="2"/>
      <c r="V226" s="2"/>
      <c r="Y226" s="2"/>
      <c r="Z226" s="2"/>
    </row>
    <row r="227" spans="7:26" x14ac:dyDescent="0.25">
      <c r="S227">
        <f>IF(COUNT(N227:R227)=0,"",SUM(N227:R227))</f>
      </c>
      <c r="U227" s="2"/>
      <c r="V227" s="2"/>
      <c r="Y227" s="2"/>
      <c r="Z227" s="2"/>
    </row>
    <row r="228" spans="7:26" x14ac:dyDescent="0.25">
      <c r="S228">
        <f>IF(COUNT(N228:R228)=0,"",SUM(N228:R228))</f>
      </c>
      <c r="U228" s="2"/>
      <c r="V228" s="2"/>
      <c r="Y228" s="2"/>
      <c r="Z228" s="2"/>
    </row>
    <row r="229" spans="7:26" x14ac:dyDescent="0.25">
      <c r="S229">
        <f>IF(COUNT(N229:R229)=0,"",SUM(N229:R229))</f>
      </c>
      <c r="U229" s="2"/>
      <c r="V229" s="2"/>
      <c r="Y229" s="2"/>
      <c r="Z229" s="2"/>
    </row>
    <row r="230" spans="7:26" x14ac:dyDescent="0.25">
      <c r="S230">
        <f>IF(COUNT(N230:R230)=0,"",SUM(N230:R230))</f>
      </c>
      <c r="U230" s="2"/>
      <c r="V230" s="2"/>
      <c r="Y230" s="2"/>
      <c r="Z230" s="2"/>
    </row>
    <row r="231" spans="7:26" x14ac:dyDescent="0.25">
      <c r="S231">
        <f>IF(COUNT(N231:R231)=0,"",SUM(N231:R231))</f>
      </c>
      <c r="U231" s="2"/>
      <c r="V231" s="2"/>
      <c r="Y231" s="2"/>
      <c r="Z231" s="2"/>
    </row>
    <row r="232" spans="7:26" x14ac:dyDescent="0.25">
      <c r="S232">
        <f>IF(COUNT(N232:R232)=0,"",SUM(N232:R232))</f>
      </c>
      <c r="U232" s="2"/>
      <c r="V232" s="2"/>
      <c r="Y232" s="2"/>
      <c r="Z232" s="2"/>
    </row>
    <row r="233" spans="7:26" x14ac:dyDescent="0.25">
      <c r="S233">
        <f>IF(COUNT(N233:R233)=0,"",SUM(N233:R233))</f>
      </c>
      <c r="U233" s="2"/>
      <c r="V233" s="2"/>
      <c r="Y233" s="2"/>
      <c r="Z233" s="2"/>
    </row>
    <row r="234" spans="7:26" x14ac:dyDescent="0.25">
      <c r="S234">
        <f>IF(COUNT(N234:R234)=0,"",SUM(N234:R234))</f>
      </c>
      <c r="U234" s="2"/>
      <c r="V234" s="2"/>
      <c r="Y234" s="2"/>
      <c r="Z234" s="2"/>
    </row>
    <row r="235" spans="7:26" x14ac:dyDescent="0.25">
      <c r="S235">
        <f>IF(COUNT(N235:R235)=0,"",SUM(N235:R235))</f>
      </c>
      <c r="U235" s="2"/>
      <c r="V235" s="2"/>
      <c r="Y235" s="2"/>
      <c r="Z235" s="2"/>
    </row>
    <row r="236" spans="7:26" x14ac:dyDescent="0.25">
      <c r="S236">
        <f>IF(COUNT(N236:R236)=0,"",SUM(N236:R236))</f>
      </c>
      <c r="U236" s="2"/>
      <c r="V236" s="2"/>
      <c r="Y236" s="2"/>
      <c r="Z236" s="2"/>
    </row>
    <row r="237" spans="7:26" x14ac:dyDescent="0.25">
      <c r="S237">
        <f>IF(COUNT(N237:R237)=0,"",SUM(N237:R237))</f>
      </c>
      <c r="U237" s="2"/>
      <c r="V237" s="2"/>
      <c r="Y237" s="2"/>
      <c r="Z237" s="2"/>
    </row>
    <row r="238" spans="7:26" x14ac:dyDescent="0.25">
      <c r="S238">
        <f>IF(COUNT(N238:R238)=0,"",SUM(N238:R238))</f>
      </c>
      <c r="U238" s="2"/>
      <c r="V238" s="2"/>
      <c r="Y238" s="2"/>
      <c r="Z238" s="2"/>
    </row>
    <row r="239" spans="7:26" x14ac:dyDescent="0.25">
      <c r="S239">
        <f>IF(COUNT(N239:R239)=0,"",SUM(N239:R239))</f>
      </c>
      <c r="U239" s="2"/>
      <c r="V239" s="2"/>
      <c r="Y239" s="2"/>
      <c r="Z239" s="2"/>
    </row>
    <row r="240" spans="7:26" x14ac:dyDescent="0.25">
      <c r="S240">
        <f>IF(COUNT(N240:R240)=0,"",SUM(N240:R240))</f>
      </c>
      <c r="U240" s="2"/>
      <c r="V240" s="2"/>
      <c r="Y240" s="2"/>
      <c r="Z240" s="2"/>
    </row>
    <row r="241" spans="7:26" x14ac:dyDescent="0.25">
      <c r="S241">
        <f>IF(COUNT(N241:R241)=0,"",SUM(N241:R241))</f>
      </c>
      <c r="U241" s="2"/>
      <c r="V241" s="2"/>
      <c r="Y241" s="2"/>
      <c r="Z241" s="2"/>
    </row>
    <row r="242" spans="7:26" x14ac:dyDescent="0.25">
      <c r="S242">
        <f>IF(COUNT(N242:R242)=0,"",SUM(N242:R242))</f>
      </c>
      <c r="U242" s="2"/>
      <c r="V242" s="2"/>
      <c r="Y242" s="2"/>
      <c r="Z242" s="2"/>
    </row>
    <row r="243" spans="7:26" x14ac:dyDescent="0.25">
      <c r="S243">
        <f>IF(COUNT(N243:R243)=0,"",SUM(N243:R243))</f>
      </c>
      <c r="U243" s="2"/>
      <c r="V243" s="2"/>
      <c r="Y243" s="2"/>
      <c r="Z243" s="2"/>
    </row>
    <row r="244" spans="7:26" x14ac:dyDescent="0.25">
      <c r="S244">
        <f>IF(COUNT(N244:R244)=0,"",SUM(N244:R244))</f>
      </c>
      <c r="U244" s="2"/>
      <c r="V244" s="2"/>
      <c r="Y244" s="2"/>
      <c r="Z244" s="2"/>
    </row>
    <row r="245" spans="7:26" x14ac:dyDescent="0.25">
      <c r="S245">
        <f>IF(COUNT(N245:R245)=0,"",SUM(N245:R245))</f>
      </c>
      <c r="U245" s="2"/>
      <c r="V245" s="2"/>
      <c r="Y245" s="2"/>
      <c r="Z245" s="2"/>
    </row>
    <row r="246" spans="7:26" x14ac:dyDescent="0.25">
      <c r="S246">
        <f>IF(COUNT(N246:R246)=0,"",SUM(N246:R246))</f>
      </c>
      <c r="U246" s="2"/>
      <c r="V246" s="2"/>
      <c r="Y246" s="2"/>
      <c r="Z246" s="2"/>
    </row>
    <row r="247" spans="7:26" x14ac:dyDescent="0.25">
      <c r="S247">
        <f>IF(COUNT(N247:R247)=0,"",SUM(N247:R247))</f>
      </c>
      <c r="U247" s="2"/>
      <c r="V247" s="2"/>
      <c r="Y247" s="2"/>
      <c r="Z247" s="2"/>
    </row>
    <row r="248" spans="7:26" x14ac:dyDescent="0.25">
      <c r="S248">
        <f>IF(COUNT(N248:R248)=0,"",SUM(N248:R248))</f>
      </c>
      <c r="U248" s="2"/>
      <c r="V248" s="2"/>
      <c r="Y248" s="2"/>
      <c r="Z248" s="2"/>
    </row>
    <row r="249" spans="7:26" x14ac:dyDescent="0.25">
      <c r="S249">
        <f>IF(COUNT(N249:R249)=0,"",SUM(N249:R249))</f>
      </c>
      <c r="U249" s="2"/>
      <c r="V249" s="2"/>
      <c r="Y249" s="2"/>
      <c r="Z249" s="2"/>
    </row>
    <row r="250" spans="7:26" x14ac:dyDescent="0.25">
      <c r="S250">
        <f>IF(COUNT(N250:R250)=0,"",SUM(N250:R250))</f>
      </c>
      <c r="U250" s="2"/>
      <c r="V250" s="2"/>
      <c r="Y250" s="2"/>
      <c r="Z250" s="2"/>
    </row>
    <row r="251" spans="7:26" x14ac:dyDescent="0.25">
      <c r="S251">
        <f>IF(COUNT(N251:R251)=0,"",SUM(N251:R251))</f>
      </c>
      <c r="U251" s="2"/>
      <c r="V251" s="2"/>
      <c r="Y251" s="2"/>
      <c r="Z251" s="2"/>
    </row>
    <row r="252" spans="7:26" x14ac:dyDescent="0.25">
      <c r="S252">
        <f>IF(COUNT(N252:R252)=0,"",SUM(N252:R252))</f>
      </c>
      <c r="U252" s="2"/>
      <c r="V252" s="2"/>
      <c r="Y252" s="2"/>
      <c r="Z252" s="2"/>
    </row>
    <row r="253" spans="7:26" x14ac:dyDescent="0.25">
      <c r="S253">
        <f>IF(COUNT(N253:R253)=0,"",SUM(N253:R253))</f>
      </c>
      <c r="U253" s="2"/>
      <c r="V253" s="2"/>
      <c r="Y253" s="2"/>
      <c r="Z253" s="2"/>
    </row>
    <row r="254" spans="7:26" x14ac:dyDescent="0.25">
      <c r="S254">
        <f>IF(COUNT(N254:R254)=0,"",SUM(N254:R254))</f>
      </c>
      <c r="U254" s="2"/>
      <c r="V254" s="2"/>
      <c r="Y254" s="2"/>
      <c r="Z254" s="2"/>
    </row>
    <row r="255" spans="7:26" x14ac:dyDescent="0.25">
      <c r="S255">
        <f>IF(COUNT(N255:R255)=0,"",SUM(N255:R255))</f>
      </c>
      <c r="U255" s="2"/>
      <c r="V255" s="2"/>
      <c r="Y255" s="2"/>
      <c r="Z255" s="2"/>
    </row>
    <row r="256" spans="7:26" x14ac:dyDescent="0.25">
      <c r="S256">
        <f>IF(COUNT(N256:R256)=0,"",SUM(N256:R256))</f>
      </c>
      <c r="U256" s="2"/>
      <c r="V256" s="2"/>
      <c r="Y256" s="2"/>
      <c r="Z256" s="2"/>
    </row>
    <row r="257" spans="7:26" x14ac:dyDescent="0.25">
      <c r="S257">
        <f>IF(COUNT(N257:R257)=0,"",SUM(N257:R257))</f>
      </c>
      <c r="U257" s="2"/>
      <c r="V257" s="2"/>
      <c r="Y257" s="2"/>
      <c r="Z257" s="2"/>
    </row>
    <row r="258" spans="7:26" x14ac:dyDescent="0.25">
      <c r="S258">
        <f>IF(COUNT(N258:R258)=0,"",SUM(N258:R258))</f>
      </c>
      <c r="U258" s="2"/>
      <c r="V258" s="2"/>
      <c r="Y258" s="2"/>
      <c r="Z258" s="2"/>
    </row>
    <row r="259" spans="7:26" x14ac:dyDescent="0.25">
      <c r="S259">
        <f>IF(COUNT(N259:R259)=0,"",SUM(N259:R259))</f>
      </c>
      <c r="U259" s="2"/>
      <c r="V259" s="2"/>
      <c r="Y259" s="2"/>
      <c r="Z259" s="2"/>
    </row>
    <row r="260" spans="7:26" x14ac:dyDescent="0.25">
      <c r="S260">
        <f>IF(COUNT(N260:R260)=0,"",SUM(N260:R260))</f>
      </c>
      <c r="U260" s="2"/>
      <c r="V260" s="2"/>
      <c r="Y260" s="2"/>
      <c r="Z260" s="2"/>
    </row>
    <row r="261" spans="7:26" x14ac:dyDescent="0.25">
      <c r="S261">
        <f>IF(COUNT(N261:R261)=0,"",SUM(N261:R261))</f>
      </c>
      <c r="U261" s="2"/>
      <c r="V261" s="2"/>
      <c r="Y261" s="2"/>
      <c r="Z261" s="2"/>
    </row>
    <row r="262" spans="7:26" x14ac:dyDescent="0.25">
      <c r="S262">
        <f>IF(COUNT(N262:R262)=0,"",SUM(N262:R262))</f>
      </c>
      <c r="U262" s="2"/>
      <c r="V262" s="2"/>
      <c r="Y262" s="2"/>
      <c r="Z262" s="2"/>
    </row>
    <row r="263" spans="7:26" x14ac:dyDescent="0.25">
      <c r="S263">
        <f>IF(COUNT(N263:R263)=0,"",SUM(N263:R263))</f>
      </c>
      <c r="U263" s="2"/>
      <c r="V263" s="2"/>
      <c r="Y263" s="2"/>
      <c r="Z263" s="2"/>
    </row>
    <row r="264" spans="7:26" x14ac:dyDescent="0.25">
      <c r="S264">
        <f>IF(COUNT(N264:R264)=0,"",SUM(N264:R264))</f>
      </c>
      <c r="U264" s="2"/>
      <c r="V264" s="2"/>
      <c r="Y264" s="2"/>
      <c r="Z264" s="2"/>
    </row>
    <row r="265" spans="7:26" x14ac:dyDescent="0.25">
      <c r="S265">
        <f>IF(COUNT(N265:R265)=0,"",SUM(N265:R265))</f>
      </c>
      <c r="U265" s="2"/>
      <c r="V265" s="2"/>
      <c r="Y265" s="2"/>
      <c r="Z265" s="2"/>
    </row>
    <row r="266" spans="7:26" x14ac:dyDescent="0.25">
      <c r="S266">
        <f>IF(COUNT(N266:R266)=0,"",SUM(N266:R266))</f>
      </c>
      <c r="U266" s="2"/>
      <c r="V266" s="2"/>
      <c r="Y266" s="2"/>
      <c r="Z266" s="2"/>
    </row>
    <row r="267" spans="7:26" x14ac:dyDescent="0.25">
      <c r="S267">
        <f>IF(COUNT(N267:R267)=0,"",SUM(N267:R267))</f>
      </c>
      <c r="U267" s="2"/>
      <c r="V267" s="2"/>
      <c r="Y267" s="2"/>
      <c r="Z267" s="2"/>
    </row>
    <row r="268" spans="7:26" x14ac:dyDescent="0.25">
      <c r="S268">
        <f>IF(COUNT(N268:R268)=0,"",SUM(N268:R268))</f>
      </c>
      <c r="U268" s="2"/>
      <c r="V268" s="2"/>
      <c r="Y268" s="2"/>
      <c r="Z268" s="2"/>
    </row>
    <row r="269" spans="7:26" x14ac:dyDescent="0.25">
      <c r="S269">
        <f>IF(COUNT(N269:R269)=0,"",SUM(N269:R269))</f>
      </c>
      <c r="U269" s="2"/>
      <c r="V269" s="2"/>
      <c r="Y269" s="2"/>
      <c r="Z269" s="2"/>
    </row>
    <row r="270" spans="7:26" x14ac:dyDescent="0.25">
      <c r="S270">
        <f>IF(COUNT(N270:R270)=0,"",SUM(N270:R270))</f>
      </c>
      <c r="U270" s="2"/>
      <c r="V270" s="2"/>
      <c r="Y270" s="2"/>
      <c r="Z270" s="2"/>
    </row>
    <row r="271" spans="7:26" x14ac:dyDescent="0.25">
      <c r="S271">
        <f>IF(COUNT(N271:R271)=0,"",SUM(N271:R271))</f>
      </c>
      <c r="U271" s="2"/>
      <c r="V271" s="2"/>
      <c r="Y271" s="2"/>
      <c r="Z271" s="2"/>
    </row>
    <row r="272" spans="7:26" x14ac:dyDescent="0.25">
      <c r="S272">
        <f>IF(COUNT(N272:R272)=0,"",SUM(N272:R272))</f>
      </c>
      <c r="U272" s="2"/>
      <c r="V272" s="2"/>
      <c r="Y272" s="2"/>
      <c r="Z272" s="2"/>
    </row>
    <row r="273" spans="7:26" x14ac:dyDescent="0.25">
      <c r="S273">
        <f>IF(COUNT(N273:R273)=0,"",SUM(N273:R273))</f>
      </c>
      <c r="U273" s="2"/>
      <c r="V273" s="2"/>
      <c r="Y273" s="2"/>
      <c r="Z273" s="2"/>
    </row>
    <row r="274" spans="7:26" x14ac:dyDescent="0.25">
      <c r="S274">
        <f>IF(COUNT(N274:R274)=0,"",SUM(N274:R274))</f>
      </c>
      <c r="U274" s="2"/>
      <c r="V274" s="2"/>
      <c r="Y274" s="2"/>
      <c r="Z274" s="2"/>
    </row>
    <row r="275" spans="7:26" x14ac:dyDescent="0.25">
      <c r="S275">
        <f>IF(COUNT(N275:R275)=0,"",SUM(N275:R275))</f>
      </c>
      <c r="U275" s="2"/>
      <c r="V275" s="2"/>
      <c r="Y275" s="2"/>
      <c r="Z275" s="2"/>
    </row>
    <row r="276" spans="7:26" x14ac:dyDescent="0.25">
      <c r="S276">
        <f>IF(COUNT(N276:R276)=0,"",SUM(N276:R276))</f>
      </c>
      <c r="U276" s="2"/>
      <c r="V276" s="2"/>
      <c r="Y276" s="2"/>
      <c r="Z276" s="2"/>
    </row>
    <row r="277" spans="7:26" x14ac:dyDescent="0.25">
      <c r="S277">
        <f>IF(COUNT(N277:R277)=0,"",SUM(N277:R277))</f>
      </c>
      <c r="U277" s="2"/>
      <c r="V277" s="2"/>
      <c r="Y277" s="2"/>
      <c r="Z277" s="2"/>
    </row>
    <row r="278" spans="7:26" x14ac:dyDescent="0.25">
      <c r="S278">
        <f>IF(COUNT(N278:R278)=0,"",SUM(N278:R278))</f>
      </c>
      <c r="U278" s="2"/>
      <c r="V278" s="2"/>
      <c r="Y278" s="2"/>
      <c r="Z278" s="2"/>
    </row>
    <row r="279" spans="7:26" x14ac:dyDescent="0.25">
      <c r="S279">
        <f>IF(COUNT(N279:R279)=0,"",SUM(N279:R279))</f>
      </c>
      <c r="U279" s="2"/>
      <c r="V279" s="2"/>
      <c r="Y279" s="2"/>
      <c r="Z279" s="2"/>
    </row>
    <row r="280" spans="7:26" x14ac:dyDescent="0.25">
      <c r="S280">
        <f>IF(COUNT(N280:R280)=0,"",SUM(N280:R280))</f>
      </c>
      <c r="U280" s="2"/>
      <c r="V280" s="2"/>
      <c r="Y280" s="2"/>
      <c r="Z280" s="2"/>
    </row>
    <row r="281" spans="7:26" x14ac:dyDescent="0.25">
      <c r="S281">
        <f>IF(COUNT(N281:R281)=0,"",SUM(N281:R281))</f>
      </c>
      <c r="U281" s="2"/>
      <c r="V281" s="2"/>
      <c r="Y281" s="2"/>
      <c r="Z281" s="2"/>
    </row>
    <row r="282" spans="7:26" x14ac:dyDescent="0.25">
      <c r="S282">
        <f>IF(COUNT(N282:R282)=0,"",SUM(N282:R282))</f>
      </c>
      <c r="U282" s="2"/>
      <c r="V282" s="2"/>
      <c r="Y282" s="2"/>
      <c r="Z282" s="2"/>
    </row>
    <row r="283" spans="7:26" x14ac:dyDescent="0.25">
      <c r="S283">
        <f>IF(COUNT(N283:R283)=0,"",SUM(N283:R283))</f>
      </c>
      <c r="U283" s="2"/>
      <c r="V283" s="2"/>
      <c r="Y283" s="2"/>
      <c r="Z283" s="2"/>
    </row>
    <row r="284" spans="7:26" x14ac:dyDescent="0.25">
      <c r="S284">
        <f>IF(COUNT(N284:R284)=0,"",SUM(N284:R284))</f>
      </c>
      <c r="U284" s="2"/>
      <c r="V284" s="2"/>
      <c r="Y284" s="2"/>
      <c r="Z284" s="2"/>
    </row>
    <row r="285" spans="7:26" x14ac:dyDescent="0.25">
      <c r="S285">
        <f>IF(COUNT(N285:R285)=0,"",SUM(N285:R285))</f>
      </c>
      <c r="U285" s="2"/>
      <c r="V285" s="2"/>
      <c r="Y285" s="2"/>
      <c r="Z285" s="2"/>
    </row>
    <row r="286" spans="7:26" x14ac:dyDescent="0.25">
      <c r="S286">
        <f>IF(COUNT(N286:R286)=0,"",SUM(N286:R286))</f>
      </c>
      <c r="U286" s="2"/>
      <c r="V286" s="2"/>
      <c r="Y286" s="2"/>
      <c r="Z286" s="2"/>
    </row>
    <row r="287" spans="7:26" x14ac:dyDescent="0.25">
      <c r="S287">
        <f>IF(COUNT(N287:R287)=0,"",SUM(N287:R287))</f>
      </c>
      <c r="U287" s="2"/>
      <c r="V287" s="2"/>
      <c r="Y287" s="2"/>
      <c r="Z287" s="2"/>
    </row>
    <row r="288" spans="7:26" x14ac:dyDescent="0.25">
      <c r="S288">
        <f>IF(COUNT(N288:R288)=0,"",SUM(N288:R288))</f>
      </c>
      <c r="U288" s="2"/>
      <c r="V288" s="2"/>
      <c r="Y288" s="2"/>
      <c r="Z288" s="2"/>
    </row>
    <row r="289" spans="7:26" x14ac:dyDescent="0.25">
      <c r="S289">
        <f>IF(COUNT(N289:R289)=0,"",SUM(N289:R289))</f>
      </c>
      <c r="U289" s="2"/>
      <c r="V289" s="2"/>
      <c r="Y289" s="2"/>
      <c r="Z289" s="2"/>
    </row>
    <row r="290" spans="7:26" x14ac:dyDescent="0.25">
      <c r="S290">
        <f>IF(COUNT(N290:R290)=0,"",SUM(N290:R290))</f>
      </c>
      <c r="U290" s="2"/>
      <c r="V290" s="2"/>
      <c r="Y290" s="2"/>
      <c r="Z290" s="2"/>
    </row>
    <row r="291" spans="7:26" x14ac:dyDescent="0.25">
      <c r="S291">
        <f>IF(COUNT(N291:R291)=0,"",SUM(N291:R291))</f>
      </c>
      <c r="U291" s="2"/>
      <c r="V291" s="2"/>
      <c r="Y291" s="2"/>
      <c r="Z291" s="2"/>
    </row>
    <row r="292" spans="7:26" x14ac:dyDescent="0.25">
      <c r="S292">
        <f>IF(COUNT(N292:R292)=0,"",SUM(N292:R292))</f>
      </c>
      <c r="U292" s="2"/>
      <c r="V292" s="2"/>
      <c r="Y292" s="2"/>
      <c r="Z292" s="2"/>
    </row>
    <row r="293" spans="7:26" x14ac:dyDescent="0.25">
      <c r="S293">
        <f>IF(COUNT(N293:R293)=0,"",SUM(N293:R293))</f>
      </c>
      <c r="U293" s="2"/>
      <c r="V293" s="2"/>
      <c r="Y293" s="2"/>
      <c r="Z293" s="2"/>
    </row>
    <row r="294" spans="7:26" x14ac:dyDescent="0.25">
      <c r="S294">
        <f>IF(COUNT(N294:R294)=0,"",SUM(N294:R294))</f>
      </c>
      <c r="U294" s="2"/>
      <c r="V294" s="2"/>
      <c r="Y294" s="2"/>
      <c r="Z294" s="2"/>
    </row>
    <row r="295" spans="7:26" x14ac:dyDescent="0.25">
      <c r="S295">
        <f>IF(COUNT(N295:R295)=0,"",SUM(N295:R295))</f>
      </c>
      <c r="U295" s="2"/>
      <c r="V295" s="2"/>
      <c r="Y295" s="2"/>
      <c r="Z295" s="2"/>
    </row>
    <row r="296" spans="7:26" x14ac:dyDescent="0.25">
      <c r="S296">
        <f>IF(COUNT(N296:R296)=0,"",SUM(N296:R296))</f>
      </c>
      <c r="U296" s="2"/>
      <c r="V296" s="2"/>
      <c r="Y296" s="2"/>
      <c r="Z296" s="2"/>
    </row>
    <row r="297" spans="7:26" x14ac:dyDescent="0.25">
      <c r="S297">
        <f>IF(COUNT(N297:R297)=0,"",SUM(N297:R297))</f>
      </c>
      <c r="U297" s="2"/>
      <c r="V297" s="2"/>
      <c r="Y297" s="2"/>
      <c r="Z297" s="2"/>
    </row>
    <row r="298" spans="7:26" x14ac:dyDescent="0.25">
      <c r="S298">
        <f>IF(COUNT(N298:R298)=0,"",SUM(N298:R298))</f>
      </c>
      <c r="U298" s="2"/>
      <c r="V298" s="2"/>
      <c r="Y298" s="2"/>
      <c r="Z298" s="2"/>
    </row>
    <row r="299" spans="7:26" x14ac:dyDescent="0.25">
      <c r="S299">
        <f>IF(COUNT(N299:R299)=0,"",SUM(N299:R299))</f>
      </c>
      <c r="U299" s="2"/>
      <c r="V299" s="2"/>
      <c r="Y299" s="2"/>
      <c r="Z299" s="2"/>
    </row>
    <row r="300" spans="7:26" x14ac:dyDescent="0.25">
      <c r="S300">
        <f>IF(COUNT(N300:R300)=0,"",SUM(N300:R300))</f>
      </c>
      <c r="U300" s="2"/>
      <c r="V300" s="2"/>
      <c r="Y300" s="2"/>
      <c r="Z300" s="2"/>
    </row>
    <row r="301" spans="7:26" x14ac:dyDescent="0.25">
      <c r="S301">
        <f>IF(COUNT(N301:R301)=0,"",SUM(N301:R301))</f>
      </c>
      <c r="U301" s="2"/>
      <c r="V301" s="2"/>
      <c r="Y301" s="2"/>
      <c r="Z301" s="2"/>
    </row>
    <row r="302" spans="7:26" x14ac:dyDescent="0.25">
      <c r="S302">
        <f>IF(COUNT(N302:R302)=0,"",SUM(N302:R302))</f>
      </c>
      <c r="U302" s="2"/>
      <c r="V302" s="2"/>
      <c r="Y302" s="2"/>
      <c r="Z302" s="2"/>
    </row>
    <row r="303" spans="7:26" x14ac:dyDescent="0.25">
      <c r="S303">
        <f>IF(COUNT(N303:R303)=0,"",SUM(N303:R303))</f>
      </c>
      <c r="U303" s="2"/>
      <c r="V303" s="2"/>
      <c r="Y303" s="2"/>
      <c r="Z303" s="2"/>
    </row>
    <row r="304" spans="7:26" x14ac:dyDescent="0.25">
      <c r="S304">
        <f>IF(COUNT(N304:R304)=0,"",SUM(N304:R304))</f>
      </c>
      <c r="U304" s="2"/>
      <c r="V304" s="2"/>
      <c r="Y304" s="2"/>
      <c r="Z304" s="2"/>
    </row>
    <row r="305" spans="7:26" x14ac:dyDescent="0.25">
      <c r="S305">
        <f>IF(COUNT(N305:R305)=0,"",SUM(N305:R305))</f>
      </c>
      <c r="U305" s="2"/>
      <c r="V305" s="2"/>
      <c r="Y305" s="2"/>
      <c r="Z305" s="2"/>
    </row>
    <row r="306" spans="7:26" x14ac:dyDescent="0.25">
      <c r="S306">
        <f>IF(COUNT(N306:R306)=0,"",SUM(N306:R306))</f>
      </c>
      <c r="U306" s="2"/>
      <c r="V306" s="2"/>
      <c r="Y306" s="2"/>
      <c r="Z306" s="2"/>
    </row>
    <row r="307" spans="7:26" x14ac:dyDescent="0.25">
      <c r="S307">
        <f>IF(COUNT(N307:R307)=0,"",SUM(N307:R307))</f>
      </c>
      <c r="U307" s="2"/>
      <c r="V307" s="2"/>
      <c r="Y307" s="2"/>
      <c r="Z307" s="2"/>
    </row>
    <row r="308" spans="7:26" x14ac:dyDescent="0.25">
      <c r="S308">
        <f>IF(COUNT(N308:R308)=0,"",SUM(N308:R308))</f>
      </c>
      <c r="U308" s="2"/>
      <c r="V308" s="2"/>
      <c r="Y308" s="2"/>
      <c r="Z308" s="2"/>
    </row>
    <row r="309" spans="7:26" x14ac:dyDescent="0.25">
      <c r="S309">
        <f>IF(COUNT(N309:R309)=0,"",SUM(N309:R309))</f>
      </c>
      <c r="U309" s="2"/>
      <c r="V309" s="2"/>
      <c r="Y309" s="2"/>
      <c r="Z309" s="2"/>
    </row>
    <row r="310" spans="7:26" x14ac:dyDescent="0.25">
      <c r="S310">
        <f>IF(COUNT(N310:R310)=0,"",SUM(N310:R310))</f>
      </c>
      <c r="U310" s="2"/>
      <c r="V310" s="2"/>
      <c r="Y310" s="2"/>
      <c r="Z310" s="2"/>
    </row>
    <row r="311" spans="7:26" x14ac:dyDescent="0.25">
      <c r="S311">
        <f>IF(COUNT(N311:R311)=0,"",SUM(N311:R311))</f>
      </c>
      <c r="U311" s="2"/>
      <c r="V311" s="2"/>
      <c r="Y311" s="2"/>
      <c r="Z311" s="2"/>
    </row>
    <row r="312" spans="7:26" x14ac:dyDescent="0.25">
      <c r="S312">
        <f>IF(COUNT(N312:R312)=0,"",SUM(N312:R312))</f>
      </c>
      <c r="U312" s="2"/>
      <c r="V312" s="2"/>
      <c r="Y312" s="2"/>
      <c r="Z312" s="2"/>
    </row>
    <row r="313" spans="7:26" x14ac:dyDescent="0.25">
      <c r="S313">
        <f>IF(COUNT(N313:R313)=0,"",SUM(N313:R313))</f>
      </c>
      <c r="U313" s="2"/>
      <c r="V313" s="2"/>
      <c r="Y313" s="2"/>
      <c r="Z313" s="2"/>
    </row>
    <row r="314" spans="7:26" x14ac:dyDescent="0.25">
      <c r="S314">
        <f>IF(COUNT(N314:R314)=0,"",SUM(N314:R314))</f>
      </c>
      <c r="U314" s="2"/>
      <c r="V314" s="2"/>
      <c r="Y314" s="2"/>
      <c r="Z314" s="2"/>
    </row>
    <row r="315" spans="7:26" x14ac:dyDescent="0.25">
      <c r="S315">
        <f>IF(COUNT(N315:R315)=0,"",SUM(N315:R315))</f>
      </c>
      <c r="U315" s="2"/>
      <c r="V315" s="2"/>
      <c r="Y315" s="2"/>
      <c r="Z315" s="2"/>
    </row>
    <row r="316" spans="7:26" x14ac:dyDescent="0.25">
      <c r="S316">
        <f>IF(COUNT(N316:R316)=0,"",SUM(N316:R316))</f>
      </c>
      <c r="U316" s="2"/>
      <c r="V316" s="2"/>
      <c r="Y316" s="2"/>
      <c r="Z316" s="2"/>
    </row>
    <row r="317" spans="7:26" x14ac:dyDescent="0.25">
      <c r="S317">
        <f>IF(COUNT(N317:R317)=0,"",SUM(N317:R317))</f>
      </c>
      <c r="U317" s="2"/>
      <c r="V317" s="2"/>
      <c r="Y317" s="2"/>
      <c r="Z317" s="2"/>
    </row>
    <row r="318" spans="7:26" x14ac:dyDescent="0.25">
      <c r="S318">
        <f>IF(COUNT(N318:R318)=0,"",SUM(N318:R318))</f>
      </c>
      <c r="U318" s="2"/>
      <c r="V318" s="2"/>
      <c r="Y318" s="2"/>
      <c r="Z318" s="2"/>
    </row>
    <row r="319" spans="7:26" x14ac:dyDescent="0.25">
      <c r="S319">
        <f>IF(COUNT(N319:R319)=0,"",SUM(N319:R319))</f>
      </c>
      <c r="U319" s="2"/>
      <c r="V319" s="2"/>
      <c r="Y319" s="2"/>
      <c r="Z319" s="2"/>
    </row>
    <row r="320" spans="7:26" x14ac:dyDescent="0.25">
      <c r="S320">
        <f>IF(COUNT(N320:R320)=0,"",SUM(N320:R320))</f>
      </c>
      <c r="U320" s="2"/>
      <c r="V320" s="2"/>
      <c r="Y320" s="2"/>
      <c r="Z320" s="2"/>
    </row>
    <row r="321" spans="7:26" x14ac:dyDescent="0.25">
      <c r="S321">
        <f>IF(COUNT(N321:R321)=0,"",SUM(N321:R321))</f>
      </c>
      <c r="U321" s="2"/>
      <c r="V321" s="2"/>
      <c r="Y321" s="2"/>
      <c r="Z321" s="2"/>
    </row>
    <row r="322" spans="7:26" x14ac:dyDescent="0.25">
      <c r="S322">
        <f>IF(COUNT(N322:R322)=0,"",SUM(N322:R322))</f>
      </c>
      <c r="U322" s="2"/>
      <c r="V322" s="2"/>
      <c r="Y322" s="2"/>
      <c r="Z322" s="2"/>
    </row>
    <row r="323" spans="7:26" x14ac:dyDescent="0.25">
      <c r="S323">
        <f>IF(COUNT(N323:R323)=0,"",SUM(N323:R323))</f>
      </c>
      <c r="U323" s="2"/>
      <c r="V323" s="2"/>
      <c r="Y323" s="2"/>
      <c r="Z323" s="2"/>
    </row>
    <row r="324" spans="7:26" x14ac:dyDescent="0.25">
      <c r="S324">
        <f>IF(COUNT(N324:R324)=0,"",SUM(N324:R324))</f>
      </c>
      <c r="U324" s="2"/>
      <c r="V324" s="2"/>
      <c r="Y324" s="2"/>
      <c r="Z324" s="2"/>
    </row>
    <row r="325" spans="7:26" x14ac:dyDescent="0.25">
      <c r="S325">
        <f>IF(COUNT(N325:R325)=0,"",SUM(N325:R325))</f>
      </c>
      <c r="U325" s="2"/>
      <c r="V325" s="2"/>
      <c r="Y325" s="2"/>
      <c r="Z325" s="2"/>
    </row>
    <row r="326" spans="7:26" x14ac:dyDescent="0.25">
      <c r="S326">
        <f>IF(COUNT(N326:R326)=0,"",SUM(N326:R326))</f>
      </c>
      <c r="U326" s="2"/>
      <c r="V326" s="2"/>
      <c r="Y326" s="2"/>
      <c r="Z326" s="2"/>
    </row>
    <row r="327" spans="7:26" x14ac:dyDescent="0.25">
      <c r="S327">
        <f>IF(COUNT(N327:R327)=0,"",SUM(N327:R327))</f>
      </c>
      <c r="U327" s="2"/>
      <c r="V327" s="2"/>
      <c r="Y327" s="2"/>
      <c r="Z327" s="2"/>
    </row>
    <row r="328" spans="7:26" x14ac:dyDescent="0.25">
      <c r="S328">
        <f>IF(COUNT(N328:R328)=0,"",SUM(N328:R328))</f>
      </c>
      <c r="U328" s="2"/>
      <c r="V328" s="2"/>
      <c r="Y328" s="2"/>
      <c r="Z328" s="2"/>
    </row>
    <row r="329" spans="7:26" x14ac:dyDescent="0.25">
      <c r="S329">
        <f>IF(COUNT(N329:R329)=0,"",SUM(N329:R329))</f>
      </c>
      <c r="U329" s="2"/>
      <c r="V329" s="2"/>
      <c r="Y329" s="2"/>
      <c r="Z329" s="2"/>
    </row>
    <row r="330" spans="7:26" x14ac:dyDescent="0.25">
      <c r="S330">
        <f>IF(COUNT(N330:R330)=0,"",SUM(N330:R330))</f>
      </c>
      <c r="U330" s="2"/>
      <c r="V330" s="2"/>
      <c r="Y330" s="2"/>
      <c r="Z330" s="2"/>
    </row>
    <row r="331" spans="7:26" x14ac:dyDescent="0.25">
      <c r="S331">
        <f>IF(COUNT(N331:R331)=0,"",SUM(N331:R331))</f>
      </c>
      <c r="U331" s="2"/>
      <c r="V331" s="2"/>
      <c r="Y331" s="2"/>
      <c r="Z331" s="2"/>
    </row>
    <row r="332" spans="7:26" x14ac:dyDescent="0.25">
      <c r="S332">
        <f>IF(COUNT(N332:R332)=0,"",SUM(N332:R332))</f>
      </c>
      <c r="U332" s="2"/>
      <c r="V332" s="2"/>
      <c r="Y332" s="2"/>
      <c r="Z332" s="2"/>
    </row>
    <row r="333" spans="7:26" x14ac:dyDescent="0.25">
      <c r="S333">
        <f>IF(COUNT(N333:R333)=0,"",SUM(N333:R333))</f>
      </c>
      <c r="U333" s="2"/>
      <c r="V333" s="2"/>
      <c r="Y333" s="2"/>
      <c r="Z333" s="2"/>
    </row>
    <row r="334" spans="7:26" x14ac:dyDescent="0.25">
      <c r="S334">
        <f>IF(COUNT(N334:R334)=0,"",SUM(N334:R334))</f>
      </c>
      <c r="U334" s="2"/>
      <c r="V334" s="2"/>
      <c r="Y334" s="2"/>
      <c r="Z334" s="2"/>
    </row>
    <row r="335" spans="7:26" x14ac:dyDescent="0.25">
      <c r="S335">
        <f>IF(COUNT(N335:R335)=0,"",SUM(N335:R335))</f>
      </c>
      <c r="U335" s="2"/>
      <c r="V335" s="2"/>
      <c r="Y335" s="2"/>
      <c r="Z335" s="2"/>
    </row>
    <row r="336" spans="7:26" x14ac:dyDescent="0.25">
      <c r="S336">
        <f>IF(COUNT(N336:R336)=0,"",SUM(N336:R336))</f>
      </c>
      <c r="U336" s="2"/>
      <c r="V336" s="2"/>
      <c r="Y336" s="2"/>
      <c r="Z336" s="2"/>
    </row>
    <row r="337" spans="7:26" x14ac:dyDescent="0.25">
      <c r="S337">
        <f>IF(COUNT(N337:R337)=0,"",SUM(N337:R337))</f>
      </c>
      <c r="U337" s="2"/>
      <c r="V337" s="2"/>
      <c r="Y337" s="2"/>
      <c r="Z337" s="2"/>
    </row>
    <row r="338" spans="7:26" x14ac:dyDescent="0.25">
      <c r="S338">
        <f>IF(COUNT(N338:R338)=0,"",SUM(N338:R338))</f>
      </c>
      <c r="U338" s="2"/>
      <c r="V338" s="2"/>
      <c r="Y338" s="2"/>
      <c r="Z338" s="2"/>
    </row>
    <row r="339" spans="7:26" x14ac:dyDescent="0.25">
      <c r="S339">
        <f>IF(COUNT(N339:R339)=0,"",SUM(N339:R339))</f>
      </c>
      <c r="U339" s="2"/>
      <c r="V339" s="2"/>
      <c r="Y339" s="2"/>
      <c r="Z339" s="2"/>
    </row>
    <row r="340" spans="7:26" x14ac:dyDescent="0.25">
      <c r="S340">
        <f>IF(COUNT(N340:R340)=0,"",SUM(N340:R340))</f>
      </c>
      <c r="U340" s="2"/>
      <c r="V340" s="2"/>
      <c r="Y340" s="2"/>
      <c r="Z340" s="2"/>
    </row>
    <row r="341" spans="7:26" x14ac:dyDescent="0.25">
      <c r="S341">
        <f>IF(COUNT(N341:R341)=0,"",SUM(N341:R341))</f>
      </c>
      <c r="U341" s="2"/>
      <c r="V341" s="2"/>
      <c r="Y341" s="2"/>
      <c r="Z341" s="2"/>
    </row>
    <row r="342" spans="7:26" x14ac:dyDescent="0.25">
      <c r="S342">
        <f>IF(COUNT(N342:R342)=0,"",SUM(N342:R342))</f>
      </c>
      <c r="U342" s="2"/>
      <c r="V342" s="2"/>
      <c r="Y342" s="2"/>
      <c r="Z342" s="2"/>
    </row>
    <row r="343" spans="7:26" x14ac:dyDescent="0.25">
      <c r="S343">
        <f>IF(COUNT(N343:R343)=0,"",SUM(N343:R343))</f>
      </c>
      <c r="U343" s="2"/>
      <c r="V343" s="2"/>
      <c r="Y343" s="2"/>
      <c r="Z343" s="2"/>
    </row>
    <row r="344" spans="7:26" x14ac:dyDescent="0.25">
      <c r="S344">
        <f>IF(COUNT(N344:R344)=0,"",SUM(N344:R344))</f>
      </c>
      <c r="U344" s="2"/>
      <c r="V344" s="2"/>
      <c r="Y344" s="2"/>
      <c r="Z344" s="2"/>
    </row>
    <row r="345" spans="7:26" x14ac:dyDescent="0.25">
      <c r="S345">
        <f>IF(COUNT(N345:R345)=0,"",SUM(N345:R345))</f>
      </c>
      <c r="U345" s="2"/>
      <c r="V345" s="2"/>
      <c r="Y345" s="2"/>
      <c r="Z345" s="2"/>
    </row>
    <row r="346" spans="7:26" x14ac:dyDescent="0.25">
      <c r="S346">
        <f>IF(COUNT(N346:R346)=0,"",SUM(N346:R346))</f>
      </c>
      <c r="U346" s="2"/>
      <c r="V346" s="2"/>
      <c r="Y346" s="2"/>
      <c r="Z346" s="2"/>
    </row>
    <row r="347" spans="7:26" x14ac:dyDescent="0.25">
      <c r="S347">
        <f>IF(COUNT(N347:R347)=0,"",SUM(N347:R347))</f>
      </c>
      <c r="U347" s="2"/>
      <c r="V347" s="2"/>
      <c r="Y347" s="2"/>
      <c r="Z347" s="2"/>
    </row>
    <row r="348" spans="7:26" x14ac:dyDescent="0.25">
      <c r="S348">
        <f>IF(COUNT(N348:R348)=0,"",SUM(N348:R348))</f>
      </c>
      <c r="U348" s="2"/>
      <c r="V348" s="2"/>
      <c r="Y348" s="2"/>
      <c r="Z348" s="2"/>
    </row>
    <row r="349" spans="7:26" x14ac:dyDescent="0.25">
      <c r="S349">
        <f>IF(COUNT(N349:R349)=0,"",SUM(N349:R349))</f>
      </c>
      <c r="U349" s="2"/>
      <c r="V349" s="2"/>
      <c r="Y349" s="2"/>
      <c r="Z349" s="2"/>
    </row>
    <row r="350" spans="7:26" x14ac:dyDescent="0.25">
      <c r="S350">
        <f>IF(COUNT(N350:R350)=0,"",SUM(N350:R350))</f>
      </c>
      <c r="U350" s="2"/>
      <c r="V350" s="2"/>
      <c r="Y350" s="2"/>
      <c r="Z350" s="2"/>
    </row>
    <row r="351" spans="7:26" x14ac:dyDescent="0.25">
      <c r="S351">
        <f>IF(COUNT(N351:R351)=0,"",SUM(N351:R351))</f>
      </c>
      <c r="U351" s="2"/>
      <c r="V351" s="2"/>
      <c r="Y351" s="2"/>
      <c r="Z351" s="2"/>
    </row>
    <row r="352" spans="7:26" x14ac:dyDescent="0.25">
      <c r="S352">
        <f>IF(COUNT(N352:R352)=0,"",SUM(N352:R352))</f>
      </c>
      <c r="U352" s="2"/>
      <c r="V352" s="2"/>
      <c r="Y352" s="2"/>
      <c r="Z352" s="2"/>
    </row>
    <row r="353" spans="7:26" x14ac:dyDescent="0.25">
      <c r="S353">
        <f>IF(COUNT(N353:R353)=0,"",SUM(N353:R353))</f>
      </c>
      <c r="U353" s="2"/>
      <c r="V353" s="2"/>
      <c r="Y353" s="2"/>
      <c r="Z353" s="2"/>
    </row>
    <row r="354" spans="7:26" x14ac:dyDescent="0.25">
      <c r="S354">
        <f>IF(COUNT(N354:R354)=0,"",SUM(N354:R354))</f>
      </c>
      <c r="U354" s="2"/>
      <c r="V354" s="2"/>
      <c r="Y354" s="2"/>
      <c r="Z354" s="2"/>
    </row>
    <row r="355" spans="7:26" x14ac:dyDescent="0.25">
      <c r="S355">
        <f>IF(COUNT(N355:R355)=0,"",SUM(N355:R355))</f>
      </c>
      <c r="U355" s="2"/>
      <c r="V355" s="2"/>
      <c r="Y355" s="2"/>
      <c r="Z355" s="2"/>
    </row>
    <row r="356" spans="7:26" x14ac:dyDescent="0.25">
      <c r="S356">
        <f>IF(COUNT(N356:R356)=0,"",SUM(N356:R356))</f>
      </c>
      <c r="U356" s="2"/>
      <c r="V356" s="2"/>
      <c r="Y356" s="2"/>
      <c r="Z356" s="2"/>
    </row>
    <row r="357" spans="7:26" x14ac:dyDescent="0.25">
      <c r="S357">
        <f>IF(COUNT(N357:R357)=0,"",SUM(N357:R357))</f>
      </c>
      <c r="U357" s="2"/>
      <c r="V357" s="2"/>
      <c r="Y357" s="2"/>
      <c r="Z357" s="2"/>
    </row>
    <row r="358" spans="7:26" x14ac:dyDescent="0.25">
      <c r="S358">
        <f>IF(COUNT(N358:R358)=0,"",SUM(N358:R358))</f>
      </c>
      <c r="U358" s="2"/>
      <c r="V358" s="2"/>
      <c r="Y358" s="2"/>
      <c r="Z358" s="2"/>
    </row>
    <row r="359" spans="7:26" x14ac:dyDescent="0.25">
      <c r="S359">
        <f>IF(COUNT(N359:R359)=0,"",SUM(N359:R359))</f>
      </c>
      <c r="U359" s="2"/>
      <c r="V359" s="2"/>
      <c r="Y359" s="2"/>
      <c r="Z359" s="2"/>
    </row>
    <row r="360" spans="7:26" x14ac:dyDescent="0.25">
      <c r="S360">
        <f>IF(COUNT(N360:R360)=0,"",SUM(N360:R360))</f>
      </c>
      <c r="U360" s="2"/>
      <c r="V360" s="2"/>
      <c r="Y360" s="2"/>
      <c r="Z360" s="2"/>
    </row>
    <row r="361" spans="7:26" x14ac:dyDescent="0.25">
      <c r="S361">
        <f>IF(COUNT(N361:R361)=0,"",SUM(N361:R361))</f>
      </c>
      <c r="U361" s="2"/>
      <c r="V361" s="2"/>
      <c r="Y361" s="2"/>
      <c r="Z361" s="2"/>
    </row>
    <row r="362" spans="7:26" x14ac:dyDescent="0.25">
      <c r="S362">
        <f>IF(COUNT(N362:R362)=0,"",SUM(N362:R362))</f>
      </c>
      <c r="U362" s="2"/>
      <c r="V362" s="2"/>
      <c r="Y362" s="2"/>
      <c r="Z362" s="2"/>
    </row>
    <row r="363" spans="7:26" x14ac:dyDescent="0.25">
      <c r="S363">
        <f>IF(COUNT(N363:R363)=0,"",SUM(N363:R363))</f>
      </c>
      <c r="U363" s="2"/>
      <c r="V363" s="2"/>
      <c r="Y363" s="2"/>
      <c r="Z363" s="2"/>
    </row>
    <row r="364" spans="7:26" x14ac:dyDescent="0.25">
      <c r="S364">
        <f>IF(COUNT(N364:R364)=0,"",SUM(N364:R364))</f>
      </c>
      <c r="U364" s="2"/>
      <c r="V364" s="2"/>
      <c r="Y364" s="2"/>
      <c r="Z364" s="2"/>
    </row>
    <row r="365" spans="7:26" x14ac:dyDescent="0.25">
      <c r="S365">
        <f>IF(COUNT(N365:R365)=0,"",SUM(N365:R365))</f>
      </c>
      <c r="U365" s="2"/>
      <c r="V365" s="2"/>
      <c r="Y365" s="2"/>
      <c r="Z365" s="2"/>
    </row>
    <row r="366" spans="7:26" x14ac:dyDescent="0.25">
      <c r="S366">
        <f>IF(COUNT(N366:R366)=0,"",SUM(N366:R366))</f>
      </c>
      <c r="U366" s="2"/>
      <c r="V366" s="2"/>
      <c r="Y366" s="2"/>
      <c r="Z366" s="2"/>
    </row>
    <row r="367" spans="7:26" x14ac:dyDescent="0.25">
      <c r="S367">
        <f>IF(COUNT(N367:R367)=0,"",SUM(N367:R367))</f>
      </c>
      <c r="U367" s="2"/>
      <c r="V367" s="2"/>
      <c r="Y367" s="2"/>
      <c r="Z367" s="2"/>
    </row>
    <row r="368" spans="7:26" x14ac:dyDescent="0.25">
      <c r="S368">
        <f>IF(COUNT(N368:R368)=0,"",SUM(N368:R368))</f>
      </c>
      <c r="U368" s="2"/>
      <c r="V368" s="2"/>
      <c r="Y368" s="2"/>
      <c r="Z368" s="2"/>
    </row>
    <row r="369" spans="7:26" x14ac:dyDescent="0.25">
      <c r="S369">
        <f>IF(COUNT(N369:R369)=0,"",SUM(N369:R369))</f>
      </c>
      <c r="U369" s="2"/>
      <c r="V369" s="2"/>
      <c r="Y369" s="2"/>
      <c r="Z369" s="2"/>
    </row>
    <row r="370" spans="7:26" x14ac:dyDescent="0.25">
      <c r="S370">
        <f>IF(COUNT(N370:R370)=0,"",SUM(N370:R370))</f>
      </c>
      <c r="U370" s="2"/>
      <c r="V370" s="2"/>
      <c r="Y370" s="2"/>
      <c r="Z370" s="2"/>
    </row>
    <row r="371" spans="7:26" x14ac:dyDescent="0.25">
      <c r="S371">
        <f>IF(COUNT(N371:R371)=0,"",SUM(N371:R371))</f>
      </c>
      <c r="U371" s="2"/>
      <c r="V371" s="2"/>
      <c r="Y371" s="2"/>
      <c r="Z371" s="2"/>
    </row>
    <row r="372" spans="7:26" x14ac:dyDescent="0.25">
      <c r="S372">
        <f>IF(COUNT(N372:R372)=0,"",SUM(N372:R372))</f>
      </c>
      <c r="U372" s="2"/>
      <c r="V372" s="2"/>
      <c r="Y372" s="2"/>
      <c r="Z372" s="2"/>
    </row>
    <row r="373" spans="7:26" x14ac:dyDescent="0.25">
      <c r="S373">
        <f>IF(COUNT(N373:R373)=0,"",SUM(N373:R373))</f>
      </c>
      <c r="U373" s="2"/>
      <c r="V373" s="2"/>
      <c r="Y373" s="2"/>
      <c r="Z373" s="2"/>
    </row>
    <row r="374" spans="7:26" x14ac:dyDescent="0.25">
      <c r="S374">
        <f>IF(COUNT(N374:R374)=0,"",SUM(N374:R374))</f>
      </c>
      <c r="U374" s="2"/>
      <c r="V374" s="2"/>
      <c r="Y374" s="2"/>
      <c r="Z374" s="2"/>
    </row>
    <row r="375" spans="7:26" x14ac:dyDescent="0.25">
      <c r="S375">
        <f>IF(COUNT(N375:R375)=0,"",SUM(N375:R375))</f>
      </c>
      <c r="U375" s="2"/>
      <c r="V375" s="2"/>
      <c r="Y375" s="2"/>
      <c r="Z375" s="2"/>
    </row>
    <row r="376" spans="7:26" x14ac:dyDescent="0.25">
      <c r="S376">
        <f>IF(COUNT(N376:R376)=0,"",SUM(N376:R376))</f>
      </c>
      <c r="U376" s="2"/>
      <c r="V376" s="2"/>
      <c r="Y376" s="2"/>
      <c r="Z376" s="2"/>
    </row>
    <row r="377" spans="7:26" x14ac:dyDescent="0.25">
      <c r="S377">
        <f>IF(COUNT(N377:R377)=0,"",SUM(N377:R377))</f>
      </c>
      <c r="U377" s="2"/>
      <c r="V377" s="2"/>
      <c r="Y377" s="2"/>
      <c r="Z377" s="2"/>
    </row>
    <row r="378" spans="7:26" x14ac:dyDescent="0.25">
      <c r="S378">
        <f>IF(COUNT(N378:R378)=0,"",SUM(N378:R378))</f>
      </c>
      <c r="U378" s="2"/>
      <c r="V378" s="2"/>
      <c r="Y378" s="2"/>
      <c r="Z378" s="2"/>
    </row>
    <row r="379" spans="7:26" x14ac:dyDescent="0.25">
      <c r="S379">
        <f>IF(COUNT(N379:R379)=0,"",SUM(N379:R379))</f>
      </c>
      <c r="U379" s="2"/>
      <c r="V379" s="2"/>
      <c r="Y379" s="2"/>
      <c r="Z379" s="2"/>
    </row>
    <row r="380" spans="7:26" x14ac:dyDescent="0.25">
      <c r="S380">
        <f>IF(COUNT(N380:R380)=0,"",SUM(N380:R380))</f>
      </c>
      <c r="U380" s="2"/>
      <c r="V380" s="2"/>
      <c r="Y380" s="2"/>
      <c r="Z380" s="2"/>
    </row>
    <row r="381" spans="7:26" x14ac:dyDescent="0.25">
      <c r="S381">
        <f>IF(COUNT(N381:R381)=0,"",SUM(N381:R381))</f>
      </c>
      <c r="U381" s="2"/>
      <c r="V381" s="2"/>
      <c r="Y381" s="2"/>
      <c r="Z381" s="2"/>
    </row>
    <row r="382" spans="7:26" x14ac:dyDescent="0.25">
      <c r="S382">
        <f>IF(COUNT(N382:R382)=0,"",SUM(N382:R382))</f>
      </c>
      <c r="U382" s="2"/>
      <c r="V382" s="2"/>
      <c r="Y382" s="2"/>
      <c r="Z382" s="2"/>
    </row>
    <row r="383" spans="7:26" x14ac:dyDescent="0.25">
      <c r="S383">
        <f>IF(COUNT(N383:R383)=0,"",SUM(N383:R383))</f>
      </c>
      <c r="U383" s="2"/>
      <c r="V383" s="2"/>
      <c r="Y383" s="2"/>
      <c r="Z383" s="2"/>
    </row>
    <row r="384" spans="7:26" x14ac:dyDescent="0.25">
      <c r="S384">
        <f>IF(COUNT(N384:R384)=0,"",SUM(N384:R384))</f>
      </c>
      <c r="U384" s="2"/>
      <c r="V384" s="2"/>
      <c r="Y384" s="2"/>
      <c r="Z384" s="2"/>
    </row>
    <row r="385" spans="7:26" x14ac:dyDescent="0.25">
      <c r="S385">
        <f>IF(COUNT(N385:R385)=0,"",SUM(N385:R385))</f>
      </c>
      <c r="U385" s="2"/>
      <c r="V385" s="2"/>
      <c r="Y385" s="2"/>
      <c r="Z385" s="2"/>
    </row>
    <row r="386" spans="7:26" x14ac:dyDescent="0.25">
      <c r="S386">
        <f>IF(COUNT(N386:R386)=0,"",SUM(N386:R386))</f>
      </c>
      <c r="U386" s="2"/>
      <c r="V386" s="2"/>
      <c r="Y386" s="2"/>
      <c r="Z386" s="2"/>
    </row>
    <row r="387" spans="7:26" x14ac:dyDescent="0.25">
      <c r="S387">
        <f>IF(COUNT(N387:R387)=0,"",SUM(N387:R387))</f>
      </c>
      <c r="U387" s="2"/>
      <c r="V387" s="2"/>
      <c r="Y387" s="2"/>
      <c r="Z387" s="2"/>
    </row>
    <row r="388" spans="7:26" x14ac:dyDescent="0.25">
      <c r="S388">
        <f>IF(COUNT(N388:R388)=0,"",SUM(N388:R388))</f>
      </c>
      <c r="U388" s="2"/>
      <c r="V388" s="2"/>
      <c r="Y388" s="2"/>
      <c r="Z388" s="2"/>
    </row>
    <row r="389" spans="7:26" x14ac:dyDescent="0.25">
      <c r="S389">
        <f>IF(COUNT(N389:R389)=0,"",SUM(N389:R389))</f>
      </c>
      <c r="U389" s="2"/>
      <c r="V389" s="2"/>
      <c r="Y389" s="2"/>
      <c r="Z389" s="2"/>
    </row>
    <row r="390" spans="7:26" x14ac:dyDescent="0.25">
      <c r="S390">
        <f>IF(COUNT(N390:R390)=0,"",SUM(N390:R390))</f>
      </c>
      <c r="U390" s="2"/>
      <c r="V390" s="2"/>
      <c r="Y390" s="2"/>
      <c r="Z390" s="2"/>
    </row>
    <row r="391" spans="7:26" x14ac:dyDescent="0.25">
      <c r="S391">
        <f>IF(COUNT(N391:R391)=0,"",SUM(N391:R391))</f>
      </c>
      <c r="U391" s="2"/>
      <c r="V391" s="2"/>
      <c r="Y391" s="2"/>
      <c r="Z391" s="2"/>
    </row>
    <row r="392" spans="7:26" x14ac:dyDescent="0.25">
      <c r="S392">
        <f>IF(COUNT(N392:R392)=0,"",SUM(N392:R392))</f>
      </c>
      <c r="U392" s="2"/>
      <c r="V392" s="2"/>
      <c r="Y392" s="2"/>
      <c r="Z392" s="2"/>
    </row>
    <row r="393" spans="7:26" x14ac:dyDescent="0.25">
      <c r="S393">
        <f>IF(COUNT(N393:R393)=0,"",SUM(N393:R393))</f>
      </c>
      <c r="U393" s="2"/>
      <c r="V393" s="2"/>
      <c r="Y393" s="2"/>
      <c r="Z393" s="2"/>
    </row>
    <row r="394" spans="7:26" x14ac:dyDescent="0.25">
      <c r="S394">
        <f>IF(COUNT(N394:R394)=0,"",SUM(N394:R394))</f>
      </c>
      <c r="U394" s="2"/>
      <c r="V394" s="2"/>
      <c r="Y394" s="2"/>
      <c r="Z394" s="2"/>
    </row>
    <row r="395" spans="7:26" x14ac:dyDescent="0.25">
      <c r="S395">
        <f>IF(COUNT(N395:R395)=0,"",SUM(N395:R395))</f>
      </c>
      <c r="U395" s="2"/>
      <c r="V395" s="2"/>
      <c r="Y395" s="2"/>
      <c r="Z395" s="2"/>
    </row>
    <row r="396" spans="7:26" x14ac:dyDescent="0.25">
      <c r="S396">
        <f>IF(COUNT(N396:R396)=0,"",SUM(N396:R396))</f>
      </c>
      <c r="U396" s="2"/>
      <c r="V396" s="2"/>
      <c r="Y396" s="2"/>
      <c r="Z396" s="2"/>
    </row>
    <row r="397" spans="7:26" x14ac:dyDescent="0.25">
      <c r="S397">
        <f>IF(COUNT(N397:R397)=0,"",SUM(N397:R397))</f>
      </c>
      <c r="U397" s="2"/>
      <c r="V397" s="2"/>
      <c r="Y397" s="2"/>
      <c r="Z397" s="2"/>
    </row>
    <row r="398" spans="7:26" x14ac:dyDescent="0.25">
      <c r="S398">
        <f>IF(COUNT(N398:R398)=0,"",SUM(N398:R398))</f>
      </c>
      <c r="U398" s="2"/>
      <c r="V398" s="2"/>
      <c r="Y398" s="2"/>
      <c r="Z398" s="2"/>
    </row>
    <row r="399" spans="7:26" x14ac:dyDescent="0.25">
      <c r="S399">
        <f>IF(COUNT(N399:R399)=0,"",SUM(N399:R399))</f>
      </c>
      <c r="U399" s="2"/>
      <c r="V399" s="2"/>
      <c r="Y399" s="2"/>
      <c r="Z399" s="2"/>
    </row>
    <row r="400" spans="7:26" x14ac:dyDescent="0.25">
      <c r="S400">
        <f>IF(COUNT(N400:R400)=0,"",SUM(N400:R400))</f>
      </c>
      <c r="U400" s="2"/>
      <c r="V400" s="2"/>
      <c r="Y400" s="2"/>
      <c r="Z400" s="2"/>
    </row>
    <row r="401" spans="7:26" x14ac:dyDescent="0.25">
      <c r="S401">
        <f>IF(COUNT(N401:R401)=0,"",SUM(N401:R401))</f>
      </c>
      <c r="U401" s="2"/>
      <c r="V401" s="2"/>
      <c r="Y401" s="2"/>
      <c r="Z401" s="2"/>
    </row>
    <row r="402" spans="7:26" x14ac:dyDescent="0.25">
      <c r="S402">
        <f>IF(COUNT(N402:R402)=0,"",SUM(N402:R402))</f>
      </c>
      <c r="U402" s="2"/>
      <c r="V402" s="2"/>
      <c r="Y402" s="2"/>
      <c r="Z402" s="2"/>
    </row>
    <row r="403" spans="7:26" x14ac:dyDescent="0.25">
      <c r="S403">
        <f>IF(COUNT(N403:R403)=0,"",SUM(N403:R403))</f>
      </c>
      <c r="U403" s="2"/>
      <c r="V403" s="2"/>
      <c r="Y403" s="2"/>
      <c r="Z403" s="2"/>
    </row>
    <row r="404" spans="7:26" x14ac:dyDescent="0.25">
      <c r="S404">
        <f>IF(COUNT(N404:R404)=0,"",SUM(N404:R404))</f>
      </c>
      <c r="U404" s="2"/>
      <c r="V404" s="2"/>
      <c r="Y404" s="2"/>
      <c r="Z404" s="2"/>
    </row>
    <row r="405" spans="7:26" x14ac:dyDescent="0.25">
      <c r="S405">
        <f>IF(COUNT(N405:R405)=0,"",SUM(N405:R405))</f>
      </c>
      <c r="U405" s="2"/>
      <c r="V405" s="2"/>
      <c r="Y405" s="2"/>
      <c r="Z405" s="2"/>
    </row>
    <row r="406" spans="7:26" x14ac:dyDescent="0.25">
      <c r="S406">
        <f>IF(COUNT(N406:R406)=0,"",SUM(N406:R406))</f>
      </c>
      <c r="U406" s="2"/>
      <c r="V406" s="2"/>
      <c r="Y406" s="2"/>
      <c r="Z406" s="2"/>
    </row>
    <row r="407" spans="7:26" x14ac:dyDescent="0.25">
      <c r="S407">
        <f>IF(COUNT(N407:R407)=0,"",SUM(N407:R407))</f>
      </c>
      <c r="U407" s="2"/>
      <c r="V407" s="2"/>
      <c r="Y407" s="2"/>
      <c r="Z407" s="2"/>
    </row>
    <row r="408" spans="7:26" x14ac:dyDescent="0.25">
      <c r="S408">
        <f>IF(COUNT(N408:R408)=0,"",SUM(N408:R408))</f>
      </c>
      <c r="U408" s="2"/>
      <c r="V408" s="2"/>
      <c r="Y408" s="2"/>
      <c r="Z408" s="2"/>
    </row>
    <row r="409" spans="7:26" x14ac:dyDescent="0.25">
      <c r="S409">
        <f>IF(COUNT(N409:R409)=0,"",SUM(N409:R409))</f>
      </c>
      <c r="U409" s="2"/>
      <c r="V409" s="2"/>
      <c r="Y409" s="2"/>
      <c r="Z409" s="2"/>
    </row>
    <row r="410" spans="7:26" x14ac:dyDescent="0.25">
      <c r="S410">
        <f>IF(COUNT(N410:R410)=0,"",SUM(N410:R410))</f>
      </c>
      <c r="U410" s="2"/>
      <c r="V410" s="2"/>
      <c r="Y410" s="2"/>
      <c r="Z410" s="2"/>
    </row>
    <row r="411" spans="7:26" x14ac:dyDescent="0.25">
      <c r="S411">
        <f>IF(COUNT(N411:R411)=0,"",SUM(N411:R411))</f>
      </c>
      <c r="U411" s="2"/>
      <c r="V411" s="2"/>
      <c r="Y411" s="2"/>
      <c r="Z411" s="2"/>
    </row>
    <row r="412" spans="7:26" x14ac:dyDescent="0.25">
      <c r="S412">
        <f>IF(COUNT(N412:R412)=0,"",SUM(N412:R412))</f>
      </c>
      <c r="U412" s="2"/>
      <c r="V412" s="2"/>
      <c r="Y412" s="2"/>
      <c r="Z412" s="2"/>
    </row>
    <row r="413" spans="7:26" x14ac:dyDescent="0.25">
      <c r="S413">
        <f>IF(COUNT(N413:R413)=0,"",SUM(N413:R413))</f>
      </c>
      <c r="U413" s="2"/>
      <c r="V413" s="2"/>
      <c r="Y413" s="2"/>
      <c r="Z413" s="2"/>
    </row>
    <row r="414" spans="7:26" x14ac:dyDescent="0.25">
      <c r="S414">
        <f>IF(COUNT(N414:R414)=0,"",SUM(N414:R414))</f>
      </c>
      <c r="U414" s="2"/>
      <c r="V414" s="2"/>
      <c r="Y414" s="2"/>
      <c r="Z414" s="2"/>
    </row>
    <row r="415" spans="7:26" x14ac:dyDescent="0.25">
      <c r="S415">
        <f>IF(COUNT(N415:R415)=0,"",SUM(N415:R415))</f>
      </c>
      <c r="U415" s="2"/>
      <c r="V415" s="2"/>
      <c r="Y415" s="2"/>
      <c r="Z415" s="2"/>
    </row>
    <row r="416" spans="7:26" x14ac:dyDescent="0.25">
      <c r="S416">
        <f>IF(COUNT(N416:R416)=0,"",SUM(N416:R416))</f>
      </c>
      <c r="U416" s="2"/>
      <c r="V416" s="2"/>
      <c r="Y416" s="2"/>
      <c r="Z416" s="2"/>
    </row>
    <row r="417" spans="7:26" x14ac:dyDescent="0.25">
      <c r="S417">
        <f>IF(COUNT(N417:R417)=0,"",SUM(N417:R417))</f>
      </c>
      <c r="U417" s="2"/>
      <c r="V417" s="2"/>
      <c r="Y417" s="2"/>
      <c r="Z417" s="2"/>
    </row>
    <row r="418" spans="7:26" x14ac:dyDescent="0.25">
      <c r="S418">
        <f>IF(COUNT(N418:R418)=0,"",SUM(N418:R418))</f>
      </c>
      <c r="U418" s="2"/>
      <c r="V418" s="2"/>
      <c r="Y418" s="2"/>
      <c r="Z418" s="2"/>
    </row>
    <row r="419" spans="7:26" x14ac:dyDescent="0.25">
      <c r="S419">
        <f>IF(COUNT(N419:R419)=0,"",SUM(N419:R419))</f>
      </c>
      <c r="U419" s="2"/>
      <c r="V419" s="2"/>
      <c r="Y419" s="2"/>
      <c r="Z419" s="2"/>
    </row>
    <row r="420" spans="7:26" x14ac:dyDescent="0.25">
      <c r="S420">
        <f>IF(COUNT(N420:R420)=0,"",SUM(N420:R420))</f>
      </c>
      <c r="U420" s="2"/>
      <c r="V420" s="2"/>
      <c r="Y420" s="2"/>
      <c r="Z420" s="2"/>
    </row>
    <row r="421" spans="7:26" x14ac:dyDescent="0.25">
      <c r="S421">
        <f>IF(COUNT(N421:R421)=0,"",SUM(N421:R421))</f>
      </c>
      <c r="U421" s="2"/>
      <c r="V421" s="2"/>
      <c r="Y421" s="2"/>
      <c r="Z421" s="2"/>
    </row>
    <row r="422" spans="7:26" x14ac:dyDescent="0.25">
      <c r="S422">
        <f>IF(COUNT(N422:R422)=0,"",SUM(N422:R422))</f>
      </c>
      <c r="U422" s="2"/>
      <c r="V422" s="2"/>
      <c r="Y422" s="2"/>
      <c r="Z422" s="2"/>
    </row>
    <row r="423" spans="7:26" x14ac:dyDescent="0.25">
      <c r="S423">
        <f>IF(COUNT(N423:R423)=0,"",SUM(N423:R423))</f>
      </c>
      <c r="U423" s="2"/>
      <c r="V423" s="2"/>
      <c r="Y423" s="2"/>
      <c r="Z423" s="2"/>
    </row>
    <row r="424" spans="7:26" x14ac:dyDescent="0.25">
      <c r="S424">
        <f>IF(COUNT(N424:R424)=0,"",SUM(N424:R424))</f>
      </c>
      <c r="U424" s="2"/>
      <c r="V424" s="2"/>
      <c r="Y424" s="2"/>
      <c r="Z424" s="2"/>
    </row>
    <row r="425" spans="7:26" x14ac:dyDescent="0.25">
      <c r="S425">
        <f>IF(COUNT(N425:R425)=0,"",SUM(N425:R425))</f>
      </c>
      <c r="U425" s="2"/>
      <c r="V425" s="2"/>
      <c r="Y425" s="2"/>
      <c r="Z425" s="2"/>
    </row>
    <row r="426" spans="7:26" x14ac:dyDescent="0.25">
      <c r="S426">
        <f>IF(COUNT(N426:R426)=0,"",SUM(N426:R426))</f>
      </c>
      <c r="U426" s="2"/>
      <c r="V426" s="2"/>
      <c r="Y426" s="2"/>
      <c r="Z426" s="2"/>
    </row>
    <row r="427" spans="7:26" x14ac:dyDescent="0.25">
      <c r="S427">
        <f>IF(COUNT(N427:R427)=0,"",SUM(N427:R427))</f>
      </c>
      <c r="U427" s="2"/>
      <c r="V427" s="2"/>
      <c r="Y427" s="2"/>
      <c r="Z427" s="2"/>
    </row>
    <row r="428" spans="7:26" x14ac:dyDescent="0.25">
      <c r="S428">
        <f>IF(COUNT(N428:R428)=0,"",SUM(N428:R428))</f>
      </c>
      <c r="U428" s="2"/>
      <c r="V428" s="2"/>
      <c r="Y428" s="2"/>
      <c r="Z428" s="2"/>
    </row>
    <row r="429" spans="7:26" x14ac:dyDescent="0.25">
      <c r="S429">
        <f>IF(COUNT(N429:R429)=0,"",SUM(N429:R429))</f>
      </c>
      <c r="U429" s="2"/>
      <c r="V429" s="2"/>
      <c r="Y429" s="2"/>
      <c r="Z429" s="2"/>
    </row>
    <row r="430" spans="7:26" x14ac:dyDescent="0.25">
      <c r="S430">
        <f>IF(COUNT(N430:R430)=0,"",SUM(N430:R430))</f>
      </c>
      <c r="U430" s="2"/>
      <c r="V430" s="2"/>
      <c r="Y430" s="2"/>
      <c r="Z430" s="2"/>
    </row>
    <row r="431" spans="7:26" x14ac:dyDescent="0.25">
      <c r="S431">
        <f>IF(COUNT(N431:R431)=0,"",SUM(N431:R431))</f>
      </c>
      <c r="U431" s="2"/>
      <c r="V431" s="2"/>
      <c r="Y431" s="2"/>
      <c r="Z431" s="2"/>
    </row>
    <row r="432" spans="7:26" x14ac:dyDescent="0.25">
      <c r="S432">
        <f>IF(COUNT(N432:R432)=0,"",SUM(N432:R432))</f>
      </c>
      <c r="U432" s="2"/>
      <c r="V432" s="2"/>
      <c r="Y432" s="2"/>
      <c r="Z432" s="2"/>
    </row>
    <row r="433" spans="7:26" x14ac:dyDescent="0.25">
      <c r="S433">
        <f>IF(COUNT(N433:R433)=0,"",SUM(N433:R433))</f>
      </c>
      <c r="U433" s="2"/>
      <c r="V433" s="2"/>
      <c r="Y433" s="2"/>
      <c r="Z433" s="2"/>
    </row>
    <row r="434" spans="7:26" x14ac:dyDescent="0.25">
      <c r="S434">
        <f>IF(COUNT(N434:R434)=0,"",SUM(N434:R434))</f>
      </c>
      <c r="U434" s="2"/>
      <c r="V434" s="2"/>
      <c r="Y434" s="2"/>
      <c r="Z434" s="2"/>
    </row>
    <row r="435" spans="7:26" x14ac:dyDescent="0.25">
      <c r="S435">
        <f>IF(COUNT(N435:R435)=0,"",SUM(N435:R435))</f>
      </c>
      <c r="U435" s="2"/>
      <c r="V435" s="2"/>
      <c r="Y435" s="2"/>
      <c r="Z435" s="2"/>
    </row>
    <row r="436" spans="7:26" x14ac:dyDescent="0.25">
      <c r="S436">
        <f>IF(COUNT(N436:R436)=0,"",SUM(N436:R436))</f>
      </c>
      <c r="U436" s="2"/>
      <c r="V436" s="2"/>
      <c r="Y436" s="2"/>
      <c r="Z436" s="2"/>
    </row>
    <row r="437" spans="7:26" x14ac:dyDescent="0.25">
      <c r="S437">
        <f>IF(COUNT(N437:R437)=0,"",SUM(N437:R437))</f>
      </c>
      <c r="U437" s="2"/>
      <c r="V437" s="2"/>
      <c r="Y437" s="2"/>
      <c r="Z437" s="2"/>
    </row>
    <row r="438" spans="7:26" x14ac:dyDescent="0.25">
      <c r="S438">
        <f>IF(COUNT(N438:R438)=0,"",SUM(N438:R438))</f>
      </c>
      <c r="U438" s="2"/>
      <c r="V438" s="2"/>
      <c r="Y438" s="2"/>
      <c r="Z438" s="2"/>
    </row>
    <row r="439" spans="7:26" x14ac:dyDescent="0.25">
      <c r="S439">
        <f>IF(COUNT(N439:R439)=0,"",SUM(N439:R439))</f>
      </c>
      <c r="U439" s="2"/>
      <c r="V439" s="2"/>
      <c r="Y439" s="2"/>
      <c r="Z439" s="2"/>
    </row>
    <row r="440" spans="7:26" x14ac:dyDescent="0.25">
      <c r="S440">
        <f>IF(COUNT(N440:R440)=0,"",SUM(N440:R440))</f>
      </c>
      <c r="U440" s="2"/>
      <c r="V440" s="2"/>
      <c r="Y440" s="2"/>
      <c r="Z440" s="2"/>
    </row>
    <row r="441" spans="7:26" x14ac:dyDescent="0.25">
      <c r="S441">
        <f>IF(COUNT(N441:R441)=0,"",SUM(N441:R441))</f>
      </c>
      <c r="U441" s="2"/>
      <c r="V441" s="2"/>
      <c r="Y441" s="2"/>
      <c r="Z441" s="2"/>
    </row>
    <row r="442" spans="7:26" x14ac:dyDescent="0.25">
      <c r="S442">
        <f>IF(COUNT(N442:R442)=0,"",SUM(N442:R442))</f>
      </c>
      <c r="U442" s="2"/>
      <c r="V442" s="2"/>
      <c r="Y442" s="2"/>
      <c r="Z442" s="2"/>
    </row>
    <row r="443" spans="7:26" x14ac:dyDescent="0.25">
      <c r="S443">
        <f>IF(COUNT(N443:R443)=0,"",SUM(N443:R443))</f>
      </c>
      <c r="U443" s="2"/>
      <c r="V443" s="2"/>
      <c r="Y443" s="2"/>
      <c r="Z443" s="2"/>
    </row>
    <row r="444" spans="7:26" x14ac:dyDescent="0.25">
      <c r="S444">
        <f>IF(COUNT(N444:R444)=0,"",SUM(N444:R444))</f>
      </c>
      <c r="U444" s="2"/>
      <c r="V444" s="2"/>
      <c r="Y444" s="2"/>
      <c r="Z444" s="2"/>
    </row>
    <row r="445" spans="7:26" x14ac:dyDescent="0.25">
      <c r="S445">
        <f>IF(COUNT(N445:R445)=0,"",SUM(N445:R445))</f>
      </c>
      <c r="U445" s="2"/>
      <c r="V445" s="2"/>
      <c r="Y445" s="2"/>
      <c r="Z445" s="2"/>
    </row>
    <row r="446" spans="7:26" x14ac:dyDescent="0.25">
      <c r="S446">
        <f>IF(COUNT(N446:R446)=0,"",SUM(N446:R446))</f>
      </c>
      <c r="U446" s="2"/>
      <c r="V446" s="2"/>
      <c r="Y446" s="2"/>
      <c r="Z446" s="2"/>
    </row>
    <row r="447" spans="7:26" x14ac:dyDescent="0.25">
      <c r="S447">
        <f>IF(COUNT(N447:R447)=0,"",SUM(N447:R447))</f>
      </c>
      <c r="U447" s="2"/>
      <c r="V447" s="2"/>
      <c r="Y447" s="2"/>
      <c r="Z447" s="2"/>
    </row>
    <row r="448" spans="7:26" x14ac:dyDescent="0.25">
      <c r="S448">
        <f>IF(COUNT(N448:R448)=0,"",SUM(N448:R448))</f>
      </c>
      <c r="U448" s="2"/>
      <c r="V448" s="2"/>
      <c r="Y448" s="2"/>
      <c r="Z448" s="2"/>
    </row>
    <row r="449" spans="7:26" x14ac:dyDescent="0.25">
      <c r="S449">
        <f>IF(COUNT(N449:R449)=0,"",SUM(N449:R449))</f>
      </c>
      <c r="U449" s="2"/>
      <c r="V449" s="2"/>
      <c r="Y449" s="2"/>
      <c r="Z449" s="2"/>
    </row>
    <row r="450" spans="7:26" x14ac:dyDescent="0.25">
      <c r="S450">
        <f>IF(COUNT(N450:R450)=0,"",SUM(N450:R450))</f>
      </c>
      <c r="U450" s="2"/>
      <c r="V450" s="2"/>
      <c r="Y450" s="2"/>
      <c r="Z450" s="2"/>
    </row>
    <row r="451" spans="7:26" x14ac:dyDescent="0.25">
      <c r="S451">
        <f>IF(COUNT(N451:R451)=0,"",SUM(N451:R451))</f>
      </c>
      <c r="U451" s="2"/>
      <c r="V451" s="2"/>
      <c r="Y451" s="2"/>
      <c r="Z451" s="2"/>
    </row>
    <row r="452" spans="7:26" x14ac:dyDescent="0.25">
      <c r="S452">
        <f>IF(COUNT(N452:R452)=0,"",SUM(N452:R452))</f>
      </c>
      <c r="U452" s="2"/>
      <c r="V452" s="2"/>
      <c r="Y452" s="2"/>
      <c r="Z452" s="2"/>
    </row>
    <row r="453" spans="7:26" x14ac:dyDescent="0.25">
      <c r="S453">
        <f>IF(COUNT(N453:R453)=0,"",SUM(N453:R453))</f>
      </c>
      <c r="U453" s="2"/>
      <c r="V453" s="2"/>
      <c r="Y453" s="2"/>
      <c r="Z453" s="2"/>
    </row>
    <row r="454" spans="7:26" x14ac:dyDescent="0.25">
      <c r="S454">
        <f>IF(COUNT(N454:R454)=0,"",SUM(N454:R454))</f>
      </c>
      <c r="U454" s="2"/>
      <c r="V454" s="2"/>
      <c r="Y454" s="2"/>
      <c r="Z454" s="2"/>
    </row>
    <row r="455" spans="7:26" x14ac:dyDescent="0.25">
      <c r="S455">
        <f>IF(COUNT(N455:R455)=0,"",SUM(N455:R455))</f>
      </c>
      <c r="U455" s="2"/>
      <c r="V455" s="2"/>
      <c r="Y455" s="2"/>
      <c r="Z455" s="2"/>
    </row>
    <row r="456" spans="7:26" x14ac:dyDescent="0.25">
      <c r="S456">
        <f>IF(COUNT(N456:R456)=0,"",SUM(N456:R456))</f>
      </c>
      <c r="U456" s="2"/>
      <c r="V456" s="2"/>
      <c r="Y456" s="2"/>
      <c r="Z456" s="2"/>
    </row>
    <row r="457" spans="7:26" x14ac:dyDescent="0.25">
      <c r="S457">
        <f>IF(COUNT(N457:R457)=0,"",SUM(N457:R457))</f>
      </c>
      <c r="U457" s="2"/>
      <c r="V457" s="2"/>
      <c r="Y457" s="2"/>
      <c r="Z457" s="2"/>
    </row>
    <row r="458" spans="7:26" x14ac:dyDescent="0.25">
      <c r="S458">
        <f>IF(COUNT(N458:R458)=0,"",SUM(N458:R458))</f>
      </c>
      <c r="U458" s="2"/>
      <c r="V458" s="2"/>
      <c r="Y458" s="2"/>
      <c r="Z458" s="2"/>
    </row>
    <row r="459" spans="7:26" x14ac:dyDescent="0.25">
      <c r="S459">
        <f>IF(COUNT(N459:R459)=0,"",SUM(N459:R459))</f>
      </c>
      <c r="U459" s="2"/>
      <c r="V459" s="2"/>
      <c r="Y459" s="2"/>
      <c r="Z459" s="2"/>
    </row>
    <row r="460" spans="7:26" x14ac:dyDescent="0.25">
      <c r="S460">
        <f>IF(COUNT(N460:R460)=0,"",SUM(N460:R460))</f>
      </c>
      <c r="U460" s="2"/>
      <c r="V460" s="2"/>
      <c r="Y460" s="2"/>
      <c r="Z460" s="2"/>
    </row>
    <row r="461" spans="7:26" x14ac:dyDescent="0.25">
      <c r="S461">
        <f>IF(COUNT(N461:R461)=0,"",SUM(N461:R461))</f>
      </c>
      <c r="U461" s="2"/>
      <c r="V461" s="2"/>
      <c r="Y461" s="2"/>
      <c r="Z461" s="2"/>
    </row>
    <row r="462" spans="7:26" x14ac:dyDescent="0.25">
      <c r="S462">
        <f>IF(COUNT(N462:R462)=0,"",SUM(N462:R462))</f>
      </c>
      <c r="U462" s="2"/>
      <c r="V462" s="2"/>
      <c r="Y462" s="2"/>
      <c r="Z462" s="2"/>
    </row>
    <row r="463" spans="7:26" x14ac:dyDescent="0.25">
      <c r="S463">
        <f>IF(COUNT(N463:R463)=0,"",SUM(N463:R463))</f>
      </c>
      <c r="U463" s="2"/>
      <c r="V463" s="2"/>
      <c r="Y463" s="2"/>
      <c r="Z463" s="2"/>
    </row>
    <row r="464" spans="7:26" x14ac:dyDescent="0.25">
      <c r="S464">
        <f>IF(COUNT(N464:R464)=0,"",SUM(N464:R464))</f>
      </c>
      <c r="U464" s="2"/>
      <c r="V464" s="2"/>
      <c r="Y464" s="2"/>
      <c r="Z464" s="2"/>
    </row>
    <row r="465" spans="7:26" x14ac:dyDescent="0.25">
      <c r="S465">
        <f>IF(COUNT(N465:R465)=0,"",SUM(N465:R465))</f>
      </c>
      <c r="U465" s="2"/>
      <c r="V465" s="2"/>
      <c r="Y465" s="2"/>
      <c r="Z465" s="2"/>
    </row>
    <row r="466" spans="7:26" x14ac:dyDescent="0.25">
      <c r="S466">
        <f>IF(COUNT(N466:R466)=0,"",SUM(N466:R466))</f>
      </c>
      <c r="U466" s="2"/>
      <c r="V466" s="2"/>
      <c r="Y466" s="2"/>
      <c r="Z466" s="2"/>
    </row>
    <row r="467" spans="7:26" x14ac:dyDescent="0.25">
      <c r="S467">
        <f>IF(COUNT(N467:R467)=0,"",SUM(N467:R467))</f>
      </c>
      <c r="U467" s="2"/>
      <c r="V467" s="2"/>
      <c r="Y467" s="2"/>
      <c r="Z467" s="2"/>
    </row>
    <row r="468" spans="7:26" x14ac:dyDescent="0.25">
      <c r="S468">
        <f>IF(COUNT(N468:R468)=0,"",SUM(N468:R468))</f>
      </c>
      <c r="U468" s="2"/>
      <c r="V468" s="2"/>
      <c r="Y468" s="2"/>
      <c r="Z468" s="2"/>
    </row>
    <row r="469" spans="7:26" x14ac:dyDescent="0.25">
      <c r="S469">
        <f>IF(COUNT(N469:R469)=0,"",SUM(N469:R469))</f>
      </c>
      <c r="U469" s="2"/>
      <c r="V469" s="2"/>
      <c r="Y469" s="2"/>
      <c r="Z469" s="2"/>
    </row>
    <row r="470" spans="7:26" x14ac:dyDescent="0.25">
      <c r="S470">
        <f>IF(COUNT(N470:R470)=0,"",SUM(N470:R470))</f>
      </c>
      <c r="U470" s="2"/>
      <c r="V470" s="2"/>
      <c r="Y470" s="2"/>
      <c r="Z470" s="2"/>
    </row>
    <row r="471" spans="7:26" x14ac:dyDescent="0.25">
      <c r="S471">
        <f>IF(COUNT(N471:R471)=0,"",SUM(N471:R471))</f>
      </c>
      <c r="U471" s="2"/>
      <c r="V471" s="2"/>
      <c r="Y471" s="2"/>
      <c r="Z471" s="2"/>
    </row>
    <row r="472" spans="7:26" x14ac:dyDescent="0.25">
      <c r="S472">
        <f>IF(COUNT(N472:R472)=0,"",SUM(N472:R472))</f>
      </c>
      <c r="U472" s="2"/>
      <c r="V472" s="2"/>
      <c r="Y472" s="2"/>
      <c r="Z472" s="2"/>
    </row>
    <row r="473" spans="7:26" x14ac:dyDescent="0.25">
      <c r="S473">
        <f>IF(COUNT(N473:R473)=0,"",SUM(N473:R473))</f>
      </c>
      <c r="U473" s="2"/>
      <c r="V473" s="2"/>
      <c r="Y473" s="2"/>
      <c r="Z473" s="2"/>
    </row>
    <row r="474" spans="7:26" x14ac:dyDescent="0.25">
      <c r="S474">
        <f>IF(COUNT(N474:R474)=0,"",SUM(N474:R474))</f>
      </c>
      <c r="U474" s="2"/>
      <c r="V474" s="2"/>
      <c r="Y474" s="2"/>
      <c r="Z474" s="2"/>
    </row>
    <row r="475" spans="7:26" x14ac:dyDescent="0.25">
      <c r="S475">
        <f>IF(COUNT(N475:R475)=0,"",SUM(N475:R475))</f>
      </c>
      <c r="U475" s="2"/>
      <c r="V475" s="2"/>
      <c r="Y475" s="2"/>
      <c r="Z475" s="2"/>
    </row>
    <row r="476" spans="7:26" x14ac:dyDescent="0.25">
      <c r="S476">
        <f>IF(COUNT(N476:R476)=0,"",SUM(N476:R476))</f>
      </c>
      <c r="U476" s="2"/>
      <c r="V476" s="2"/>
      <c r="Y476" s="2"/>
      <c r="Z476" s="2"/>
    </row>
    <row r="477" spans="7:26" x14ac:dyDescent="0.25">
      <c r="S477">
        <f>IF(COUNT(N477:R477)=0,"",SUM(N477:R477))</f>
      </c>
      <c r="U477" s="2"/>
      <c r="V477" s="2"/>
      <c r="Y477" s="2"/>
      <c r="Z477" s="2"/>
    </row>
    <row r="478" spans="7:26" x14ac:dyDescent="0.25">
      <c r="S478">
        <f>IF(COUNT(N478:R478)=0,"",SUM(N478:R478))</f>
      </c>
      <c r="U478" s="2"/>
      <c r="V478" s="2"/>
      <c r="Y478" s="2"/>
      <c r="Z478" s="2"/>
    </row>
    <row r="479" spans="7:26" x14ac:dyDescent="0.25">
      <c r="S479">
        <f>IF(COUNT(N479:R479)=0,"",SUM(N479:R479))</f>
      </c>
      <c r="U479" s="2"/>
      <c r="V479" s="2"/>
      <c r="Y479" s="2"/>
      <c r="Z479" s="2"/>
    </row>
    <row r="480" spans="7:26" x14ac:dyDescent="0.25">
      <c r="S480">
        <f>IF(COUNT(N480:R480)=0,"",SUM(N480:R480))</f>
      </c>
      <c r="U480" s="2"/>
      <c r="V480" s="2"/>
      <c r="Y480" s="2"/>
      <c r="Z480" s="2"/>
    </row>
    <row r="481" spans="7:26" x14ac:dyDescent="0.25">
      <c r="S481">
        <f>IF(COUNT(N481:R481)=0,"",SUM(N481:R481))</f>
      </c>
      <c r="U481" s="2"/>
      <c r="V481" s="2"/>
      <c r="Y481" s="2"/>
      <c r="Z481" s="2"/>
    </row>
    <row r="482" spans="7:26" x14ac:dyDescent="0.25">
      <c r="S482">
        <f>IF(COUNT(N482:R482)=0,"",SUM(N482:R482))</f>
      </c>
      <c r="U482" s="2"/>
      <c r="V482" s="2"/>
      <c r="Y482" s="2"/>
      <c r="Z482" s="2"/>
    </row>
    <row r="483" spans="7:26" x14ac:dyDescent="0.25">
      <c r="S483">
        <f>IF(COUNT(N483:R483)=0,"",SUM(N483:R483))</f>
      </c>
      <c r="U483" s="2"/>
      <c r="V483" s="2"/>
      <c r="Y483" s="2"/>
      <c r="Z483" s="2"/>
    </row>
    <row r="484" spans="7:26" x14ac:dyDescent="0.25">
      <c r="S484">
        <f>IF(COUNT(N484:R484)=0,"",SUM(N484:R484))</f>
      </c>
      <c r="U484" s="2"/>
      <c r="V484" s="2"/>
      <c r="Y484" s="2"/>
      <c r="Z484" s="2"/>
    </row>
    <row r="485" spans="7:26" x14ac:dyDescent="0.25">
      <c r="S485">
        <f>IF(COUNT(N485:R485)=0,"",SUM(N485:R485))</f>
      </c>
      <c r="U485" s="2"/>
      <c r="V485" s="2"/>
      <c r="Y485" s="2"/>
      <c r="Z485" s="2"/>
    </row>
    <row r="486" spans="7:26" x14ac:dyDescent="0.25">
      <c r="S486">
        <f>IF(COUNT(N486:R486)=0,"",SUM(N486:R486))</f>
      </c>
      <c r="U486" s="2"/>
      <c r="V486" s="2"/>
      <c r="Y486" s="2"/>
      <c r="Z486" s="2"/>
    </row>
    <row r="487" spans="7:26" x14ac:dyDescent="0.25">
      <c r="S487">
        <f>IF(COUNT(N487:R487)=0,"",SUM(N487:R487))</f>
      </c>
      <c r="U487" s="2"/>
      <c r="V487" s="2"/>
      <c r="Y487" s="2"/>
      <c r="Z487" s="2"/>
    </row>
    <row r="488" spans="7:26" x14ac:dyDescent="0.25">
      <c r="S488">
        <f>IF(COUNT(N488:R488)=0,"",SUM(N488:R488))</f>
      </c>
      <c r="U488" s="2"/>
      <c r="V488" s="2"/>
      <c r="Y488" s="2"/>
      <c r="Z488" s="2"/>
    </row>
    <row r="489" spans="7:26" x14ac:dyDescent="0.25">
      <c r="S489">
        <f>IF(COUNT(N489:R489)=0,"",SUM(N489:R489))</f>
      </c>
      <c r="U489" s="2"/>
      <c r="V489" s="2"/>
      <c r="Y489" s="2"/>
      <c r="Z489" s="2"/>
    </row>
    <row r="490" spans="7:26" x14ac:dyDescent="0.25">
      <c r="S490">
        <f>IF(COUNT(N490:R490)=0,"",SUM(N490:R490))</f>
      </c>
      <c r="U490" s="2"/>
      <c r="V490" s="2"/>
      <c r="Y490" s="2"/>
      <c r="Z490" s="2"/>
    </row>
    <row r="491" spans="7:26" x14ac:dyDescent="0.25">
      <c r="S491">
        <f>IF(COUNT(N491:R491)=0,"",SUM(N491:R491))</f>
      </c>
      <c r="U491" s="2"/>
      <c r="V491" s="2"/>
      <c r="Y491" s="2"/>
      <c r="Z491" s="2"/>
    </row>
    <row r="492" spans="7:26" x14ac:dyDescent="0.25">
      <c r="S492">
        <f>IF(COUNT(N492:R492)=0,"",SUM(N492:R492))</f>
      </c>
      <c r="U492" s="2"/>
      <c r="V492" s="2"/>
      <c r="Y492" s="2"/>
      <c r="Z492" s="2"/>
    </row>
    <row r="493" spans="7:26" x14ac:dyDescent="0.25">
      <c r="S493">
        <f>IF(COUNT(N493:R493)=0,"",SUM(N493:R493))</f>
      </c>
      <c r="U493" s="2"/>
      <c r="V493" s="2"/>
      <c r="Y493" s="2"/>
      <c r="Z493" s="2"/>
    </row>
    <row r="494" spans="7:26" x14ac:dyDescent="0.25">
      <c r="S494">
        <f>IF(COUNT(N494:R494)=0,"",SUM(N494:R494))</f>
      </c>
      <c r="U494" s="2"/>
      <c r="V494" s="2"/>
      <c r="Y494" s="2"/>
      <c r="Z494" s="2"/>
    </row>
    <row r="495" spans="7:26" x14ac:dyDescent="0.25">
      <c r="S495">
        <f>IF(COUNT(N495:R495)=0,"",SUM(N495:R495))</f>
      </c>
      <c r="U495" s="2"/>
      <c r="V495" s="2"/>
      <c r="Y495" s="2"/>
      <c r="Z495" s="2"/>
    </row>
    <row r="496" spans="7:26" x14ac:dyDescent="0.25">
      <c r="S496">
        <f>IF(COUNT(N496:R496)=0,"",SUM(N496:R496))</f>
      </c>
      <c r="U496" s="2"/>
      <c r="V496" s="2"/>
      <c r="Y496" s="2"/>
      <c r="Z496" s="2"/>
    </row>
    <row r="497" spans="7:26" x14ac:dyDescent="0.25">
      <c r="S497">
        <f>IF(COUNT(N497:R497)=0,"",SUM(N497:R497))</f>
      </c>
      <c r="U497" s="2"/>
      <c r="V497" s="2"/>
      <c r="Y497" s="2"/>
      <c r="Z497" s="2"/>
    </row>
    <row r="498" spans="7:26" x14ac:dyDescent="0.25">
      <c r="S498">
        <f>IF(COUNT(N498:R498)=0,"",SUM(N498:R498))</f>
      </c>
      <c r="U498" s="2"/>
      <c r="V498" s="2"/>
      <c r="Y498" s="2"/>
      <c r="Z498" s="2"/>
    </row>
    <row r="499" spans="7:26" x14ac:dyDescent="0.25">
      <c r="S499">
        <f>IF(COUNT(N499:R499)=0,"",SUM(N499:R499))</f>
      </c>
      <c r="U499" s="2"/>
      <c r="V499" s="2"/>
      <c r="Y499" s="2"/>
      <c r="Z499" s="2"/>
    </row>
    <row r="500" spans="7:26" x14ac:dyDescent="0.25">
      <c r="S500">
        <f>IF(COUNT(N500:R500)=0,"",SUM(N500:R500))</f>
      </c>
      <c r="U500" s="2"/>
      <c r="V500" s="2"/>
      <c r="Y500" s="2"/>
      <c r="Z500" s="2"/>
    </row>
  </sheetData>
  <autoFilter ref="A1:AD1"/>
  <conditionalFormatting sqref="Z2:Z500">
    <cfRule type="expression" dxfId="0" priority="1">
      <formula>AND(Z2&lt;&gt;"",Z2&lt;TODAY(),NOT(OR(X2="WON",X2="LOST",X2="NOT A FIT")))</formula>
    </cfRule>
  </conditionalFormatting>
  <conditionalFormatting sqref="T2:T500">
    <cfRule type="expression" dxfId="1" priority="2">
      <formula>T2="A"</formula>
    </cfRule>
  </conditionalFormatting>
  <dataValidations count="12">
    <dataValidation type="list" allowBlank="1" sqref="G10:G500">
      <formula1>"Telegram,WhatsApp,Instagram,VK,Email,Phone,Marketplace,Other"</formula1>
    </dataValidation>
    <dataValidation type="list" allowBlank="1" sqref="G2:G500">
      <formula1>"Telegram,WhatsApp,Instagram,VK,Email,Phone,Marketplace,Other"</formula1>
    </dataValidation>
    <dataValidation type="list" allowBlank="1" sqref="I10:I500">
      <formula1>"Google Maps,Яндекс Карты,2GIS,Instagram,VK,Telegram,LinkedIn,Avito,Profi,Kwork,Бизнес-каталог,Знакомые / рекомендация,Фриланс-биржа (другая),Другое"</formula1>
    </dataValidation>
    <dataValidation type="list" allowBlank="1" sqref="I2:I500">
      <formula1>"Google Maps,Яндекс Карты,2GIS,Instagram,VK,Telegram,LinkedIn,Avito,Profi,Kwork,Бизнес-каталог,Знакомые / рекомендация,Фриланс-биржа (другая),Другое"</formula1>
    </dataValidation>
    <dataValidation type="list" allowBlank="1" sqref="N10:R500">
      <formula1>"0,1,2"</formula1>
    </dataValidation>
    <dataValidation type="list" allowBlank="1" sqref="N2:R500">
      <formula1>"0,1,2"</formula1>
    </dataValidation>
    <dataValidation type="list" allowBlank="1" sqref="T10:T500">
      <formula1>"A,B,C"</formula1>
    </dataValidation>
    <dataValidation type="list" allowBlank="1" sqref="T2:T500">
      <formula1>"A,B,C"</formula1>
    </dataValidation>
    <dataValidation type="list" allowBlank="1" sqref="W10:W500">
      <formula1>"A,B,C"</formula1>
    </dataValidation>
    <dataValidation type="list" allowBlank="1" sqref="W2:W500">
      <formula1>"A,B,C"</formula1>
    </dataValidation>
    <dataValidation type="list" allowBlank="1" sqref="X10:X500">
      <formula1>"NEW,READY,CONTACTED,REPLIED,INTERESTED,DISCOVERY,OFFER SENT,FOLLOW-UP,WON,LOST,NOT A FIT"</formula1>
    </dataValidation>
    <dataValidation type="list" allowBlank="1" sqref="X2:X500">
      <formula1>"NEW,READY,CONTACTED,REPLIED,INTERESTED,DISCOVERY,OFFER SENT,FOLLOW-UP,WON,LOST,NOT A FIT"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60" customWidth="1"/>
  </cols>
  <sheetData>
    <row r="1" spans="1:3" x14ac:dyDescent="0.25">
      <c r="A1" s="3" t="s">
        <v>97</v>
      </c>
      <c r="B1" s="3" t="s">
        <v>98</v>
      </c>
      <c r="C1" s="3" t="s">
        <v>99</v>
      </c>
    </row>
    <row r="2" spans="1:3" x14ac:dyDescent="0.25">
      <c r="A2" t="s">
        <v>100</v>
      </c>
      <c r="B2">
        <f>COUNTA('01_LEADS'!$A$2:$A$500)</f>
      </c>
      <c r="C2" t="s">
        <v>101</v>
      </c>
    </row>
    <row r="3" spans="1:3" x14ac:dyDescent="0.25">
      <c r="A3" t="s">
        <v>102</v>
      </c>
      <c r="B3">
        <f>COUNTIF('01_LEADS'!$T$2:$T$500,"A")</f>
      </c>
      <c r="C3" t="s">
        <v>103</v>
      </c>
    </row>
    <row r="4" spans="1:3" x14ac:dyDescent="0.25">
      <c r="A4" t="s">
        <v>104</v>
      </c>
      <c r="B4">
        <f>COUNTIF('01_LEADS'!$T$2:$T$500,"B")</f>
      </c>
      <c r="C4" t="s">
        <v>105</v>
      </c>
    </row>
    <row r="5" spans="1:3" x14ac:dyDescent="0.25">
      <c r="A5" t="s">
        <v>106</v>
      </c>
      <c r="B5">
        <f>COUNTIF('01_LEADS'!$T$2:$T$500,"C")</f>
      </c>
      <c r="C5" t="s">
        <v>107</v>
      </c>
    </row>
    <row r="6" spans="1:3" x14ac:dyDescent="0.25">
      <c r="A6" t="s">
        <v>108</v>
      </c>
      <c r="B6">
        <f>COUNTA('01_LEADS'!$V$2:$V$500)</f>
      </c>
      <c r="C6" t="s">
        <v>109</v>
      </c>
    </row>
    <row r="7" spans="1:3" x14ac:dyDescent="0.25">
      <c r="A7" t="s">
        <v>110</v>
      </c>
      <c r="B7">
        <f>COUNTA('01_LEADS'!$Y$2:$Y$500)</f>
      </c>
      <c r="C7" t="s">
        <v>111</v>
      </c>
    </row>
    <row r="8" spans="1:3" x14ac:dyDescent="0.25">
      <c r="A8" t="s">
        <v>112</v>
      </c>
      <c r="B8">
        <f>COUNTIF('01_LEADS'!$X$2:$X$500,"INTERESTED")+COUNTIF('01_LEADS'!$X$2:$X$500,"DISCOVERY")+COUNTIF('01_LEADS'!$X$2:$X$500,"OFFER SENT")+COUNTIF('01_LEADS'!$X$2:$X$500,"WON")</f>
      </c>
      <c r="C8" t="s">
        <v>113</v>
      </c>
    </row>
    <row r="9" spans="1:3" x14ac:dyDescent="0.25">
      <c r="A9" t="s">
        <v>114</v>
      </c>
      <c r="B9">
        <f>COUNTIF('01_LEADS'!$X$2:$X$500,"DISCOVERY")+COUNTIF('01_LEADS'!$X$2:$X$500,"OFFER SENT")+COUNTIF('01_LEADS'!$X$2:$X$500,"WON")</f>
      </c>
      <c r="C9" t="s">
        <v>115</v>
      </c>
    </row>
    <row r="10" spans="1:3" x14ac:dyDescent="0.25">
      <c r="A10" t="s">
        <v>116</v>
      </c>
      <c r="B10">
        <f>COUNTIF('01_LEADS'!$X$2:$X$500,"OFFER SENT")+COUNTIF('01_LEADS'!$X$2:$X$500,"WON")</f>
      </c>
      <c r="C10" t="s">
        <v>117</v>
      </c>
    </row>
    <row r="11" spans="1:3" x14ac:dyDescent="0.25">
      <c r="A11" t="s">
        <v>118</v>
      </c>
      <c r="B11">
        <f>COUNTIF('01_LEADS'!$X$2:$X$500,"WON")</f>
      </c>
      <c r="C11" t="s">
        <v>119</v>
      </c>
    </row>
    <row r="12" spans="1:3" x14ac:dyDescent="0.25">
      <c r="A12" t="s">
        <v>120</v>
      </c>
      <c r="B12">
        <f>COUNTIF('01_LEADS'!$X$2:$X$500,"LOST")</f>
      </c>
      <c r="C12" t="s">
        <v>121</v>
      </c>
    </row>
    <row r="13" spans="1:3" x14ac:dyDescent="0.25">
      <c r="A13" t="s">
        <v>122</v>
      </c>
      <c r="B13">
        <f>SUMPRODUCT(('01_LEADS'!$Z$2:$Z$500&lt;&gt;"")*('01_LEADS'!$Z$2:$Z$500&lt;=TODAY())*('01_LEADS'!$X$2:$X$500&lt;&gt;"WON")*('01_LEADS'!$X$2:$X$500&lt;&gt;"LOST")*('01_LEADS'!$X$2:$X$500&lt;&gt;"NOT A FIT"))</f>
      </c>
      <c r="C13" t="s">
        <v>123</v>
      </c>
    </row>
    <row r="15" spans="1:3" x14ac:dyDescent="0.25">
      <c r="A15" s="4" t="s">
        <v>124</v>
      </c>
      <c r="B15" s="4" t="s">
        <v>98</v>
      </c>
      <c r="C15" s="4" t="s">
        <v>125</v>
      </c>
    </row>
    <row r="16" spans="1:3" x14ac:dyDescent="0.25">
      <c r="A16" t="s">
        <v>126</v>
      </c>
      <c r="B16">
        <f>IF($B$6=0,"0%",TEXT($B$7/$B$6,"0%"))</f>
      </c>
      <c r="C16" t="s">
        <v>127</v>
      </c>
    </row>
    <row r="17" spans="1:3" x14ac:dyDescent="0.25">
      <c r="A17" t="s">
        <v>128</v>
      </c>
      <c r="B17">
        <f>IF($B$6=0,"0%",TEXT($B$8/$B$6,"0%"))</f>
      </c>
      <c r="C17" t="s">
        <v>129</v>
      </c>
    </row>
    <row r="18" spans="1:3" x14ac:dyDescent="0.25">
      <c r="A18" t="s">
        <v>130</v>
      </c>
      <c r="B18">
        <f>IF($B$8=0,"0%",TEXT($B$9/$B$8,"0%"))</f>
      </c>
      <c r="C18" t="s">
        <v>131</v>
      </c>
    </row>
    <row r="19" spans="1:3" x14ac:dyDescent="0.25">
      <c r="A19" t="s">
        <v>132</v>
      </c>
      <c r="B19">
        <f>IF($B$9=0,"0%",TEXT($B$10/$B$9,"0%"))</f>
      </c>
      <c r="C19" t="s">
        <v>133</v>
      </c>
    </row>
    <row r="20" spans="1:3" x14ac:dyDescent="0.25">
      <c r="A20" t="s">
        <v>134</v>
      </c>
      <c r="B20">
        <f>IF($B$10=0,"0%",TEXT($B$11/$B$10,"0%"))</f>
      </c>
      <c r="C20" t="s">
        <v>135</v>
      </c>
    </row>
    <row r="22" spans="1:1" x14ac:dyDescent="0.25">
      <c r="A2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3" width="22" customWidth="1"/>
    <col min="4" max="4" width="24" customWidth="1"/>
    <col min="5" max="5" width="26" customWidth="1"/>
  </cols>
  <sheetData>
    <row r="1" spans="1:5" x14ac:dyDescent="0.25">
      <c r="A1" s="3" t="s">
        <v>137</v>
      </c>
      <c r="B1" s="3" t="s">
        <v>138</v>
      </c>
      <c r="C1" s="3" t="s">
        <v>139</v>
      </c>
      <c r="D1" s="3" t="s">
        <v>140</v>
      </c>
      <c r="E1" s="3" t="s">
        <v>141</v>
      </c>
    </row>
    <row r="2" spans="1:5" x14ac:dyDescent="0.25">
      <c r="A2" t="s">
        <v>58</v>
      </c>
      <c r="B2" t="s">
        <v>42</v>
      </c>
      <c r="C2" t="s">
        <v>78</v>
      </c>
      <c r="D2" t="s">
        <v>42</v>
      </c>
      <c r="E2" t="s">
        <v>142</v>
      </c>
    </row>
    <row r="3" spans="1:5" x14ac:dyDescent="0.25">
      <c r="A3" t="s">
        <v>143</v>
      </c>
      <c r="B3" t="s">
        <v>57</v>
      </c>
      <c r="C3" t="s">
        <v>144</v>
      </c>
      <c r="D3" t="s">
        <v>57</v>
      </c>
      <c r="E3" t="s">
        <v>145</v>
      </c>
    </row>
    <row r="4" spans="1:5" x14ac:dyDescent="0.25">
      <c r="A4" t="s">
        <v>43</v>
      </c>
      <c r="B4" t="s">
        <v>146</v>
      </c>
      <c r="C4" t="s">
        <v>36</v>
      </c>
      <c r="D4" t="s">
        <v>146</v>
      </c>
      <c r="E4" t="s">
        <v>147</v>
      </c>
    </row>
    <row r="5" spans="1:5" x14ac:dyDescent="0.25">
      <c r="A5" t="s">
        <v>70</v>
      </c>
      <c r="B5" t="s">
        <v>148</v>
      </c>
      <c r="C5" t="s">
        <v>52</v>
      </c>
      <c r="D5" t="s">
        <v>148</v>
      </c>
      <c r="E5" t="s">
        <v>36</v>
      </c>
    </row>
    <row r="6" spans="1:5" x14ac:dyDescent="0.25">
      <c r="A6" t="s">
        <v>149</v>
      </c>
      <c r="B6" t="s">
        <v>148</v>
      </c>
      <c r="C6" t="s">
        <v>150</v>
      </c>
      <c r="D6" t="s">
        <v>148</v>
      </c>
      <c r="E6" t="s">
        <v>52</v>
      </c>
    </row>
    <row r="7" spans="1:5" x14ac:dyDescent="0.25">
      <c r="A7" t="s">
        <v>151</v>
      </c>
      <c r="B7" t="s">
        <v>148</v>
      </c>
      <c r="C7" t="s">
        <v>152</v>
      </c>
      <c r="D7" t="s">
        <v>148</v>
      </c>
      <c r="E7" t="s">
        <v>78</v>
      </c>
    </row>
    <row r="8" spans="1:5" x14ac:dyDescent="0.25">
      <c r="A8" t="s">
        <v>153</v>
      </c>
      <c r="B8" t="s">
        <v>148</v>
      </c>
      <c r="C8" t="s">
        <v>154</v>
      </c>
      <c r="D8" t="s">
        <v>148</v>
      </c>
      <c r="E8" t="s">
        <v>155</v>
      </c>
    </row>
    <row r="9" spans="1:5" x14ac:dyDescent="0.25">
      <c r="A9" t="s">
        <v>83</v>
      </c>
      <c r="B9" t="s">
        <v>148</v>
      </c>
      <c r="C9" t="s">
        <v>156</v>
      </c>
      <c r="D9" t="s">
        <v>148</v>
      </c>
      <c r="E9" t="s">
        <v>157</v>
      </c>
    </row>
    <row r="10" spans="1:5" x14ac:dyDescent="0.25">
      <c r="A10" t="s">
        <v>158</v>
      </c>
      <c r="B10" t="s">
        <v>148</v>
      </c>
      <c r="C10" t="s">
        <v>148</v>
      </c>
      <c r="D10" t="s">
        <v>148</v>
      </c>
      <c r="E10" t="s">
        <v>159</v>
      </c>
    </row>
    <row r="11" spans="1:5" x14ac:dyDescent="0.25">
      <c r="A11" t="s">
        <v>160</v>
      </c>
      <c r="B11" t="s">
        <v>148</v>
      </c>
      <c r="C11" t="s">
        <v>148</v>
      </c>
      <c r="D11" t="s">
        <v>148</v>
      </c>
      <c r="E11" t="s">
        <v>161</v>
      </c>
    </row>
    <row r="12" spans="1:5" x14ac:dyDescent="0.25">
      <c r="A12" t="s">
        <v>162</v>
      </c>
      <c r="B12" t="s">
        <v>148</v>
      </c>
      <c r="C12" t="s">
        <v>148</v>
      </c>
      <c r="D12" t="s">
        <v>148</v>
      </c>
      <c r="E12" t="s">
        <v>163</v>
      </c>
    </row>
    <row r="13" spans="1:5" x14ac:dyDescent="0.25">
      <c r="A13" t="s">
        <v>148</v>
      </c>
      <c r="B13" t="s">
        <v>148</v>
      </c>
      <c r="C13" t="s">
        <v>148</v>
      </c>
      <c r="D13" t="s">
        <v>148</v>
      </c>
      <c r="E13" t="s">
        <v>164</v>
      </c>
    </row>
    <row r="14" spans="1:5" x14ac:dyDescent="0.25">
      <c r="A14" t="s">
        <v>148</v>
      </c>
      <c r="B14" t="s">
        <v>148</v>
      </c>
      <c r="C14" t="s">
        <v>148</v>
      </c>
      <c r="D14" t="s">
        <v>148</v>
      </c>
      <c r="E14" t="s">
        <v>165</v>
      </c>
    </row>
    <row r="15" spans="1:5" x14ac:dyDescent="0.25">
      <c r="A15" t="s">
        <v>148</v>
      </c>
      <c r="B15" t="s">
        <v>148</v>
      </c>
      <c r="C15" t="s">
        <v>148</v>
      </c>
      <c r="D15" t="s">
        <v>148</v>
      </c>
      <c r="E15" t="s">
        <v>166</v>
      </c>
    </row>
    <row r="17" spans="1:1" s="5" customFormat="1" x14ac:dyDescent="0.25">
      <c r="A17" s="5" t="s">
        <v>167</v>
      </c>
    </row>
    <row r="18" spans="1:5" x14ac:dyDescent="0.25">
      <c r="A18" t="s">
        <v>148</v>
      </c>
      <c r="B18" t="s">
        <v>148</v>
      </c>
      <c r="C18" t="s">
        <v>148</v>
      </c>
      <c r="D18" t="s">
        <v>148</v>
      </c>
      <c r="E18" t="s">
        <v>168</v>
      </c>
    </row>
    <row r="19" spans="1:5" x14ac:dyDescent="0.25">
      <c r="A19" t="s">
        <v>148</v>
      </c>
      <c r="B19" t="s">
        <v>148</v>
      </c>
      <c r="C19" t="s">
        <v>148</v>
      </c>
      <c r="D19" t="s">
        <v>148</v>
      </c>
      <c r="E19" t="s">
        <v>169</v>
      </c>
    </row>
    <row r="20" spans="1:5" x14ac:dyDescent="0.25">
      <c r="A20" t="s">
        <v>148</v>
      </c>
      <c r="B20" t="s">
        <v>148</v>
      </c>
      <c r="C20" t="s">
        <v>148</v>
      </c>
      <c r="D20" t="s">
        <v>148</v>
      </c>
      <c r="E20" t="s">
        <v>170</v>
      </c>
    </row>
    <row r="21" spans="1:5" x14ac:dyDescent="0.25">
      <c r="A21" t="s">
        <v>148</v>
      </c>
      <c r="B21" t="s">
        <v>148</v>
      </c>
      <c r="C21" t="s">
        <v>148</v>
      </c>
      <c r="D21" t="s">
        <v>148</v>
      </c>
      <c r="E21" t="s">
        <v>171</v>
      </c>
    </row>
    <row r="22" spans="1:5" x14ac:dyDescent="0.25">
      <c r="A22" t="s">
        <v>148</v>
      </c>
      <c r="B22" t="s">
        <v>148</v>
      </c>
      <c r="C22" t="s">
        <v>148</v>
      </c>
      <c r="D22" t="s">
        <v>148</v>
      </c>
      <c r="E22" t="s">
        <v>172</v>
      </c>
    </row>
    <row r="23" spans="1:5" x14ac:dyDescent="0.25">
      <c r="A23" t="s">
        <v>148</v>
      </c>
      <c r="B23" t="s">
        <v>148</v>
      </c>
      <c r="C23" t="s">
        <v>148</v>
      </c>
      <c r="D23" t="s">
        <v>148</v>
      </c>
      <c r="E23" t="s">
        <v>173</v>
      </c>
    </row>
    <row r="24" spans="1:5" x14ac:dyDescent="0.25">
      <c r="A24" t="s">
        <v>148</v>
      </c>
      <c r="B24" t="s">
        <v>148</v>
      </c>
      <c r="C24" t="s">
        <v>148</v>
      </c>
      <c r="D24" t="s">
        <v>148</v>
      </c>
      <c r="E24" t="s">
        <v>174</v>
      </c>
    </row>
    <row r="25" spans="1:5" x14ac:dyDescent="0.25">
      <c r="A25" t="s">
        <v>148</v>
      </c>
      <c r="B25" t="s">
        <v>148</v>
      </c>
      <c r="C25" t="s">
        <v>148</v>
      </c>
      <c r="D25" t="s">
        <v>148</v>
      </c>
      <c r="E25" t="s">
        <v>175</v>
      </c>
    </row>
    <row r="26" spans="1:5" x14ac:dyDescent="0.25">
      <c r="A26" t="s">
        <v>148</v>
      </c>
      <c r="B26" t="s">
        <v>148</v>
      </c>
      <c r="C26" t="s">
        <v>148</v>
      </c>
      <c r="D26" t="s">
        <v>148</v>
      </c>
      <c r="E26" t="s">
        <v>176</v>
      </c>
    </row>
    <row r="27" spans="1:5" x14ac:dyDescent="0.25">
      <c r="A27" t="s">
        <v>148</v>
      </c>
      <c r="B27" t="s">
        <v>148</v>
      </c>
      <c r="C27" t="s">
        <v>148</v>
      </c>
      <c r="D27" t="s">
        <v>148</v>
      </c>
      <c r="E27" t="s">
        <v>177</v>
      </c>
    </row>
    <row r="28" spans="1:5" x14ac:dyDescent="0.25">
      <c r="A28" t="s">
        <v>148</v>
      </c>
      <c r="B28" t="s">
        <v>148</v>
      </c>
      <c r="C28" t="s">
        <v>148</v>
      </c>
      <c r="D28" t="s">
        <v>148</v>
      </c>
      <c r="E28" t="s">
        <v>178</v>
      </c>
    </row>
    <row r="29" spans="1:5" x14ac:dyDescent="0.25">
      <c r="A29" t="s">
        <v>148</v>
      </c>
      <c r="B29" t="s">
        <v>148</v>
      </c>
      <c r="C29" t="s">
        <v>148</v>
      </c>
      <c r="D29" t="s">
        <v>148</v>
      </c>
      <c r="E29" t="s">
        <v>179</v>
      </c>
    </row>
    <row r="30" spans="1:5" x14ac:dyDescent="0.25">
      <c r="A30" t="s">
        <v>148</v>
      </c>
      <c r="B30" t="s">
        <v>148</v>
      </c>
      <c r="C30" t="s">
        <v>148</v>
      </c>
      <c r="D30" t="s">
        <v>148</v>
      </c>
      <c r="E30" t="s">
        <v>180</v>
      </c>
    </row>
    <row r="31" spans="1:5" x14ac:dyDescent="0.25">
      <c r="A31" t="s">
        <v>148</v>
      </c>
      <c r="B31" t="s">
        <v>148</v>
      </c>
      <c r="C31" t="s">
        <v>148</v>
      </c>
      <c r="D31" t="s">
        <v>148</v>
      </c>
      <c r="E31" t="s">
        <v>181</v>
      </c>
    </row>
    <row r="32" spans="1:5" x14ac:dyDescent="0.25">
      <c r="A32" t="s">
        <v>148</v>
      </c>
      <c r="B32" t="s">
        <v>148</v>
      </c>
      <c r="C32" t="s">
        <v>148</v>
      </c>
      <c r="D32" t="s">
        <v>148</v>
      </c>
      <c r="E3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01_LEADS</vt:lpstr>
      <vt:lpstr>02_DASHBOARD</vt:lpstr>
      <vt:lpstr>03_SETTINGS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MONEY START</dc:creator>
  <dc:title/>
  <dc:subject/>
  <dc:description/>
  <cp:keywords/>
  <cp:category/>
  <cp:lastModifiedBy>Unknown</cp:lastModifiedBy>
  <dcterms:created xsi:type="dcterms:W3CDTF">2026-09-01T16:23:46Z</dcterms:created>
  <dcterms:modified xsi:type="dcterms:W3CDTF">2026-09-01T16:23:46Z</dcterms:modified>
</cp:coreProperties>
</file>